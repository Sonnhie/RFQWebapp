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RFQ\Templates\"/>
    </mc:Choice>
  </mc:AlternateContent>
  <xr:revisionPtr revIDLastSave="0" documentId="13_ncr:1_{5A0C7166-3092-448F-B78E-5DF547498BBB}" xr6:coauthVersionLast="47" xr6:coauthVersionMax="47" xr10:uidLastSave="{00000000-0000-0000-0000-000000000000}"/>
  <bookViews>
    <workbookView xWindow="-120" yWindow="-120" windowWidth="20730" windowHeight="11040" xr2:uid="{0A8AE787-0A9C-4B15-92D3-4F11BEA5499F}"/>
  </bookViews>
  <sheets>
    <sheet name="Comparison Sheet" sheetId="1" r:id="rId1"/>
  </sheets>
  <externalReferences>
    <externalReference r:id="rId2"/>
    <externalReference r:id="rId3"/>
  </externalReferences>
  <definedNames>
    <definedName name="_A_LEASERPIN" localSheetId="0">#REF!</definedName>
    <definedName name="_A_LEASERPIN">#REF!</definedName>
    <definedName name="_A300000" localSheetId="0">#REF!</definedName>
    <definedName name="_A300000">#REF!</definedName>
    <definedName name="_A4" localSheetId="0">#REF!</definedName>
    <definedName name="_A4">#REF!</definedName>
    <definedName name="_ABS6">[1]過不足試算結果!$X$5:$Z$8</definedName>
    <definedName name="a" localSheetId="0">#REF!</definedName>
    <definedName name="a">#REF!</definedName>
    <definedName name="A1\" localSheetId="0">#REF!</definedName>
    <definedName name="A1\">#REF!</definedName>
    <definedName name="A2\" localSheetId="0">#REF!</definedName>
    <definedName name="A2\">#REF!</definedName>
    <definedName name="f" localSheetId="0">'[2]ORIG DATA_WK1'!#REF!</definedName>
    <definedName name="f">'[2]ORIG DATA_WK1'!#REF!</definedName>
    <definedName name="g" localSheetId="0">#REF!</definedName>
    <definedName name="g">#REF!</definedName>
    <definedName name="h" localSheetId="0">'[2]ORIG DATA_WK1'!#REF!</definedName>
    <definedName name="h">'[2]ORIG DATA_WK1'!#REF!</definedName>
    <definedName name="hhhhh" localSheetId="0">'[2]ORIG DATA_WK1'!#REF!</definedName>
    <definedName name="hhhhh">'[2]ORIG DATA_WK1'!#REF!</definedName>
    <definedName name="LEADERPIN" localSheetId="0">'[2]ORIG DATA_WK1'!#REF!</definedName>
    <definedName name="LEADERPIN">'[2]ORIG DATA_WK1'!#REF!</definedName>
    <definedName name="S" localSheetId="0">'[2]ORIG DATA_WK1'!#REF!</definedName>
    <definedName name="S">'[2]ORIG DATA_WK1'!#REF!</definedName>
    <definedName name="Z_914D3CA9_8C6A_4524_B86A_3E9FB55C9291_.wvu.Cols" localSheetId="0" hidden="1">'Comparison Sheet'!#REF!,'Comparison Sheet'!$V:$V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  <c r="F36" i="1" s="1"/>
  <c r="G35" i="1" l="1"/>
  <c r="O32" i="1"/>
  <c r="N36" i="1" s="1"/>
  <c r="M32" i="1"/>
  <c r="L36" i="1" s="1"/>
  <c r="K32" i="1"/>
  <c r="J36" i="1" s="1"/>
  <c r="I32" i="1"/>
  <c r="H36" i="1" s="1"/>
  <c r="I35" i="1" l="1"/>
  <c r="K35" i="1"/>
  <c r="M35" i="1"/>
  <c r="O35" i="1"/>
</calcChain>
</file>

<file path=xl/sharedStrings.xml><?xml version="1.0" encoding="utf-8"?>
<sst xmlns="http://schemas.openxmlformats.org/spreadsheetml/2006/main" count="79" uniqueCount="50">
  <si>
    <t>NIDEC INSTRUMENTS (PHILIPPINES) CORPORATION</t>
  </si>
  <si>
    <t>COMPARISON SHEET</t>
  </si>
  <si>
    <t>Control No.:</t>
  </si>
  <si>
    <t>Department/Section:</t>
  </si>
  <si>
    <t>Requestor's Name:</t>
  </si>
  <si>
    <t>Purpose:</t>
  </si>
  <si>
    <t>External Provider</t>
  </si>
  <si>
    <t>Payment Terms</t>
  </si>
  <si>
    <t>Delivery Lead Time</t>
  </si>
  <si>
    <t>Item No.</t>
  </si>
  <si>
    <t>Item Description</t>
  </si>
  <si>
    <t>MOQ</t>
  </si>
  <si>
    <t>UOM</t>
  </si>
  <si>
    <t>PRICE</t>
  </si>
  <si>
    <t>TOTAL</t>
  </si>
  <si>
    <t>Discount</t>
  </si>
  <si>
    <t>ER</t>
  </si>
  <si>
    <t>Total</t>
  </si>
  <si>
    <t>QUOTATION REFERENCE:</t>
  </si>
  <si>
    <t xml:space="preserve"> </t>
  </si>
  <si>
    <t>Recommendation:</t>
  </si>
  <si>
    <t xml:space="preserve">      External Provider 1</t>
  </si>
  <si>
    <t>External Provider 2</t>
  </si>
  <si>
    <t>External Provider 3</t>
  </si>
  <si>
    <t>Reason for the Preference:</t>
  </si>
  <si>
    <t xml:space="preserve">    Shortest Delivery Lead Time</t>
  </si>
  <si>
    <t>Longest Payment Term</t>
  </si>
  <si>
    <t>Offered Warranty</t>
  </si>
  <si>
    <t xml:space="preserve">               </t>
  </si>
  <si>
    <t xml:space="preserve">    Lowest Cost</t>
  </si>
  <si>
    <t>Total Cost Acquisition</t>
  </si>
  <si>
    <t>Others: __________________________</t>
  </si>
  <si>
    <t>Prepared by:</t>
  </si>
  <si>
    <t>Checked by:</t>
  </si>
  <si>
    <t>Recommended / Noted by:</t>
  </si>
  <si>
    <t>Signature Over Printed Name</t>
  </si>
  <si>
    <t xml:space="preserve"> Signature Over Printed Name</t>
  </si>
  <si>
    <t>Ass. Manager</t>
  </si>
  <si>
    <t>Gen. Manager</t>
  </si>
  <si>
    <t>To be filled up by REQUESTING DEPARTMENT (Acknowledgement)</t>
  </si>
  <si>
    <t xml:space="preserve">Approved   </t>
  </si>
  <si>
    <t>Disapproved</t>
  </si>
  <si>
    <t>Remarks:</t>
  </si>
  <si>
    <t xml:space="preserve"> _________________________________________________________________________________________________________________________________________________________</t>
  </si>
  <si>
    <t>Acknowledged by:</t>
  </si>
  <si>
    <t>Checked / Noted by:</t>
  </si>
  <si>
    <t xml:space="preserve">                                                 </t>
  </si>
  <si>
    <t xml:space="preserve">Requestor / Supervisor </t>
  </si>
  <si>
    <t>Manager / DGM / GM</t>
  </si>
  <si>
    <t>SF-48-PR009 (Rev.00)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</si>
</sst>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  <numFmt numFmtId="165" formatCode="#,##0.00;[Red]#,##0.00"/>
    <numFmt numFmtId="166" formatCode="_-[$PHP]\ * #,##0.00_-;\-[$PHP]\ * #,##0.00_-;_-[$PHP]\ * &quot;-&quot;??_-;_-@_-"/>
    <numFmt numFmtId="167" formatCode="_-[$$-409]* #,##0.00_ ;_-[$$-409]* \-#,##0.00\ ;_-[$$-409]* &quot;-&quot;??_ ;_-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8"/>
      <color theme="1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b/>
      <sz val="29"/>
      <name val="Arial Narrow"/>
      <family val="2"/>
    </font>
    <font>
      <b/>
      <sz val="14"/>
      <name val="Arial Narrow"/>
      <family val="2"/>
    </font>
    <font>
      <b/>
      <i/>
      <sz val="14"/>
      <name val="Arial Narrow"/>
      <family val="2"/>
    </font>
    <font>
      <u/>
      <sz val="11"/>
      <color theme="10"/>
      <name val="Calibri"/>
      <family val="2"/>
      <scheme val="minor"/>
    </font>
    <font>
      <sz val="14"/>
      <name val="Arial Narrow"/>
      <family val="2"/>
    </font>
    <font>
      <b/>
      <u/>
      <sz val="14"/>
      <name val="Arial Narrow"/>
      <family val="2"/>
    </font>
    <font>
      <b/>
      <sz val="14"/>
      <color indexed="58"/>
      <name val="Arial Narrow"/>
      <family val="2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/>
      <top style="medium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3">
    <xf numFmtId="0" fontId="0" fillId="0" borderId="0" xfId="0"/>
    <xf numFmtId="0" fontId="5" fillId="0" borderId="0" xfId="1" applyFont="1"/>
    <xf numFmtId="0" fontId="8" fillId="2" borderId="0" xfId="1" applyFont="1" applyFill="1"/>
    <xf numFmtId="0" fontId="7" fillId="0" borderId="0" xfId="1" applyFont="1"/>
    <xf numFmtId="0" fontId="7" fillId="2" borderId="0" xfId="1" applyFont="1" applyFill="1"/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43" fontId="7" fillId="2" borderId="13" xfId="3" applyFont="1" applyFill="1" applyBorder="1" applyAlignment="1">
      <alignment horizontal="center" vertical="center" wrapText="1"/>
    </xf>
    <xf numFmtId="43" fontId="7" fillId="2" borderId="14" xfId="3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left"/>
    </xf>
    <xf numFmtId="0" fontId="7" fillId="2" borderId="0" xfId="1" applyFont="1" applyFill="1" applyAlignment="1">
      <alignment horizontal="left"/>
    </xf>
    <xf numFmtId="0" fontId="10" fillId="0" borderId="0" xfId="1" applyFont="1"/>
    <xf numFmtId="43" fontId="10" fillId="0" borderId="0" xfId="3" applyFont="1" applyBorder="1"/>
    <xf numFmtId="43" fontId="10" fillId="0" borderId="5" xfId="3" applyFont="1" applyBorder="1"/>
    <xf numFmtId="0" fontId="10" fillId="2" borderId="4" xfId="1" applyFont="1" applyFill="1" applyBorder="1" applyAlignment="1">
      <alignment horizontal="center"/>
    </xf>
    <xf numFmtId="0" fontId="10" fillId="2" borderId="0" xfId="1" applyFont="1" applyFill="1"/>
    <xf numFmtId="0" fontId="10" fillId="2" borderId="5" xfId="1" applyFont="1" applyFill="1" applyBorder="1"/>
    <xf numFmtId="43" fontId="5" fillId="0" borderId="0" xfId="3" applyFont="1" applyBorder="1"/>
    <xf numFmtId="43" fontId="10" fillId="2" borderId="0" xfId="3" applyFont="1" applyFill="1" applyBorder="1"/>
    <xf numFmtId="0" fontId="10" fillId="2" borderId="0" xfId="1" applyFont="1" applyFill="1" applyAlignment="1">
      <alignment horizontal="center" vertical="top"/>
    </xf>
    <xf numFmtId="0" fontId="5" fillId="0" borderId="0" xfId="1" applyFont="1" applyAlignment="1">
      <alignment horizontal="center"/>
    </xf>
    <xf numFmtId="0" fontId="7" fillId="2" borderId="4" xfId="1" applyFont="1" applyFill="1" applyBorder="1"/>
    <xf numFmtId="0" fontId="7" fillId="2" borderId="5" xfId="1" applyFont="1" applyFill="1" applyBorder="1" applyAlignment="1">
      <alignment horizontal="left"/>
    </xf>
    <xf numFmtId="0" fontId="10" fillId="2" borderId="0" xfId="1" applyFont="1" applyFill="1" applyAlignment="1">
      <alignment vertical="center"/>
    </xf>
    <xf numFmtId="0" fontId="7" fillId="2" borderId="6" xfId="1" applyFont="1" applyFill="1" applyBorder="1" applyAlignment="1">
      <alignment horizontal="center" wrapText="1"/>
    </xf>
    <xf numFmtId="0" fontId="7" fillId="2" borderId="7" xfId="1" applyFont="1" applyFill="1" applyBorder="1" applyAlignment="1">
      <alignment horizontal="center" wrapText="1"/>
    </xf>
    <xf numFmtId="0" fontId="7" fillId="2" borderId="8" xfId="1" applyFont="1" applyFill="1" applyBorder="1" applyAlignment="1">
      <alignment horizontal="center" wrapText="1"/>
    </xf>
    <xf numFmtId="0" fontId="10" fillId="2" borderId="18" xfId="1" applyFont="1" applyFill="1" applyBorder="1" applyAlignment="1">
      <alignment vertical="top" wrapText="1"/>
    </xf>
    <xf numFmtId="0" fontId="10" fillId="2" borderId="19" xfId="1" applyFont="1" applyFill="1" applyBorder="1" applyAlignment="1">
      <alignment vertical="top" wrapText="1"/>
    </xf>
    <xf numFmtId="43" fontId="10" fillId="2" borderId="19" xfId="3" applyFont="1" applyFill="1" applyBorder="1"/>
    <xf numFmtId="0" fontId="7" fillId="2" borderId="19" xfId="1" applyFont="1" applyFill="1" applyBorder="1" applyAlignment="1">
      <alignment horizontal="center" vertical="top"/>
    </xf>
    <xf numFmtId="0" fontId="10" fillId="2" borderId="19" xfId="1" applyFont="1" applyFill="1" applyBorder="1" applyAlignment="1">
      <alignment vertical="center" wrapText="1"/>
    </xf>
    <xf numFmtId="0" fontId="10" fillId="2" borderId="22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horizontal="center" vertical="top" wrapText="1"/>
    </xf>
    <xf numFmtId="0" fontId="10" fillId="2" borderId="0" xfId="1" applyFont="1" applyFill="1" applyAlignment="1">
      <alignment horizontal="left" vertical="top" wrapText="1"/>
    </xf>
    <xf numFmtId="0" fontId="7" fillId="2" borderId="0" xfId="1" applyFont="1" applyFill="1" applyAlignment="1">
      <alignment horizontal="center" vertical="top"/>
    </xf>
    <xf numFmtId="0" fontId="10" fillId="2" borderId="0" xfId="1" applyFont="1" applyFill="1" applyAlignment="1">
      <alignment vertical="center" wrapText="1"/>
    </xf>
    <xf numFmtId="0" fontId="10" fillId="2" borderId="5" xfId="1" applyFont="1" applyFill="1" applyBorder="1" applyAlignment="1">
      <alignment vertical="center" wrapText="1"/>
    </xf>
    <xf numFmtId="0" fontId="7" fillId="2" borderId="0" xfId="1" applyFont="1" applyFill="1" applyAlignment="1">
      <alignment horizontal="center" vertical="top" wrapText="1"/>
    </xf>
    <xf numFmtId="0" fontId="7" fillId="2" borderId="7" xfId="1" applyFont="1" applyFill="1" applyBorder="1" applyAlignment="1">
      <alignment vertical="top" wrapText="1"/>
    </xf>
    <xf numFmtId="0" fontId="7" fillId="2" borderId="7" xfId="1" applyFont="1" applyFill="1" applyBorder="1" applyAlignment="1">
      <alignment horizontal="center" vertical="top"/>
    </xf>
    <xf numFmtId="0" fontId="10" fillId="2" borderId="7" xfId="1" applyFont="1" applyFill="1" applyBorder="1" applyAlignment="1">
      <alignment vertical="center" wrapText="1"/>
    </xf>
    <xf numFmtId="0" fontId="10" fillId="2" borderId="8" xfId="1" applyFont="1" applyFill="1" applyBorder="1" applyAlignment="1">
      <alignment vertical="center" wrapText="1"/>
    </xf>
    <xf numFmtId="0" fontId="7" fillId="2" borderId="7" xfId="1" applyFont="1" applyFill="1" applyBorder="1" applyAlignment="1">
      <alignment horizontal="left" vertical="top" wrapText="1"/>
    </xf>
    <xf numFmtId="0" fontId="7" fillId="2" borderId="8" xfId="1" applyFont="1" applyFill="1" applyBorder="1" applyAlignment="1">
      <alignment horizontal="left" vertical="top" wrapText="1"/>
    </xf>
    <xf numFmtId="0" fontId="7" fillId="2" borderId="10" xfId="1" applyFont="1" applyFill="1" applyBorder="1" applyAlignment="1">
      <alignment horizontal="left" vertical="top" wrapText="1"/>
    </xf>
    <xf numFmtId="0" fontId="7" fillId="2" borderId="16" xfId="1" applyFont="1" applyFill="1" applyBorder="1" applyAlignment="1">
      <alignment horizontal="left" vertical="top" wrapText="1"/>
    </xf>
    <xf numFmtId="0" fontId="7" fillId="2" borderId="0" xfId="1" applyFont="1" applyFill="1" applyAlignment="1">
      <alignment horizontal="left" vertical="top"/>
    </xf>
    <xf numFmtId="0" fontId="11" fillId="2" borderId="0" xfId="1" applyFont="1" applyFill="1" applyAlignment="1">
      <alignment vertical="top" wrapText="1"/>
    </xf>
    <xf numFmtId="0" fontId="11" fillId="2" borderId="0" xfId="1" applyFont="1" applyFill="1" applyAlignment="1">
      <alignment horizontal="left" vertical="top"/>
    </xf>
    <xf numFmtId="0" fontId="11" fillId="2" borderId="5" xfId="1" applyFont="1" applyFill="1" applyBorder="1" applyAlignment="1">
      <alignment horizontal="left" vertical="top"/>
    </xf>
    <xf numFmtId="0" fontId="10" fillId="2" borderId="31" xfId="1" applyFont="1" applyFill="1" applyBorder="1"/>
    <xf numFmtId="0" fontId="10" fillId="2" borderId="32" xfId="1" applyFont="1" applyFill="1" applyBorder="1"/>
    <xf numFmtId="43" fontId="5" fillId="0" borderId="0" xfId="3" applyFont="1"/>
    <xf numFmtId="0" fontId="10" fillId="0" borderId="0" xfId="1" applyFont="1" applyAlignment="1">
      <alignment vertical="center"/>
    </xf>
    <xf numFmtId="164" fontId="10" fillId="0" borderId="0" xfId="1" applyNumberFormat="1" applyFont="1" applyAlignment="1">
      <alignment vertical="center"/>
    </xf>
    <xf numFmtId="0" fontId="10" fillId="2" borderId="17" xfId="1" quotePrefix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left" vertical="top" wrapText="1"/>
    </xf>
    <xf numFmtId="0" fontId="10" fillId="2" borderId="11" xfId="1" applyFont="1" applyFill="1" applyBorder="1" applyAlignment="1">
      <alignment horizontal="left" vertical="top" wrapText="1"/>
    </xf>
    <xf numFmtId="0" fontId="10" fillId="2" borderId="13" xfId="1" applyFont="1" applyFill="1" applyBorder="1" applyAlignment="1">
      <alignment horizontal="center" vertical="center" wrapText="1"/>
    </xf>
    <xf numFmtId="164" fontId="7" fillId="0" borderId="0" xfId="1" applyNumberFormat="1" applyFont="1"/>
    <xf numFmtId="166" fontId="7" fillId="0" borderId="0" xfId="1" applyNumberFormat="1" applyFont="1"/>
    <xf numFmtId="165" fontId="10" fillId="0" borderId="10" xfId="1" quotePrefix="1" applyNumberFormat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/>
    </xf>
    <xf numFmtId="0" fontId="10" fillId="0" borderId="19" xfId="1" applyFont="1" applyBorder="1"/>
    <xf numFmtId="43" fontId="10" fillId="0" borderId="19" xfId="3" applyFont="1" applyBorder="1"/>
    <xf numFmtId="0" fontId="10" fillId="0" borderId="22" xfId="1" applyFont="1" applyBorder="1"/>
    <xf numFmtId="0" fontId="10" fillId="0" borderId="4" xfId="1" applyFont="1" applyBorder="1" applyAlignment="1">
      <alignment horizontal="center"/>
    </xf>
    <xf numFmtId="0" fontId="10" fillId="0" borderId="4" xfId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43" fontId="10" fillId="2" borderId="0" xfId="3" applyFont="1" applyFill="1" applyBorder="1" applyAlignment="1">
      <alignment vertical="top"/>
    </xf>
    <xf numFmtId="0" fontId="10" fillId="0" borderId="5" xfId="1" applyFont="1" applyBorder="1" applyAlignment="1">
      <alignment vertical="top"/>
    </xf>
    <xf numFmtId="0" fontId="10" fillId="0" borderId="4" xfId="1" applyFont="1" applyBorder="1"/>
    <xf numFmtId="0" fontId="10" fillId="0" borderId="0" xfId="1" applyFont="1" applyAlignment="1">
      <alignment horizontal="center"/>
    </xf>
    <xf numFmtId="0" fontId="10" fillId="0" borderId="5" xfId="1" applyFont="1" applyBorder="1"/>
    <xf numFmtId="0" fontId="10" fillId="2" borderId="5" xfId="1" applyFont="1" applyFill="1" applyBorder="1" applyAlignment="1">
      <alignment vertical="center"/>
    </xf>
    <xf numFmtId="0" fontId="7" fillId="2" borderId="0" xfId="1" applyFont="1" applyFill="1" applyAlignment="1">
      <alignment vertical="top"/>
    </xf>
    <xf numFmtId="0" fontId="7" fillId="2" borderId="5" xfId="1" applyFont="1" applyFill="1" applyBorder="1" applyAlignment="1">
      <alignment vertical="top"/>
    </xf>
    <xf numFmtId="0" fontId="10" fillId="0" borderId="25" xfId="1" applyFont="1" applyBorder="1" applyAlignment="1">
      <alignment horizontal="center"/>
    </xf>
    <xf numFmtId="0" fontId="10" fillId="0" borderId="26" xfId="1" applyFont="1" applyBorder="1"/>
    <xf numFmtId="43" fontId="10" fillId="0" borderId="26" xfId="3" applyFont="1" applyBorder="1"/>
    <xf numFmtId="0" fontId="10" fillId="0" borderId="0" xfId="1" applyFont="1" applyAlignment="1">
      <alignment horizontal="left"/>
    </xf>
    <xf numFmtId="0" fontId="7" fillId="2" borderId="0" xfId="1" applyFont="1" applyFill="1" applyAlignment="1">
      <alignment vertical="top" wrapText="1"/>
    </xf>
    <xf numFmtId="0" fontId="10" fillId="0" borderId="30" xfId="1" applyFont="1" applyBorder="1"/>
    <xf numFmtId="0" fontId="10" fillId="0" borderId="31" xfId="1" applyFont="1" applyBorder="1"/>
    <xf numFmtId="0" fontId="7" fillId="2" borderId="6" xfId="1" applyFont="1" applyFill="1" applyBorder="1" applyAlignment="1">
      <alignment horizontal="left" vertical="top" wrapText="1"/>
    </xf>
    <xf numFmtId="0" fontId="10" fillId="0" borderId="13" xfId="4" applyNumberFormat="1" applyFont="1" applyFill="1" applyBorder="1" applyAlignment="1">
      <alignment horizontal="left" vertical="center" wrapText="1"/>
    </xf>
    <xf numFmtId="0" fontId="10" fillId="0" borderId="14" xfId="4" applyNumberFormat="1" applyFont="1" applyFill="1" applyBorder="1" applyAlignment="1">
      <alignment horizontal="left" vertical="center" wrapText="1"/>
    </xf>
    <xf numFmtId="0" fontId="10" fillId="0" borderId="9" xfId="4" applyNumberFormat="1" applyFont="1" applyFill="1" applyBorder="1" applyAlignment="1">
      <alignment horizontal="left" vertical="center" wrapText="1"/>
    </xf>
    <xf numFmtId="0" fontId="7" fillId="0" borderId="9" xfId="4" applyNumberFormat="1" applyFont="1" applyFill="1" applyBorder="1" applyAlignment="1">
      <alignment vertical="center" wrapText="1"/>
    </xf>
    <xf numFmtId="0" fontId="10" fillId="0" borderId="9" xfId="4" applyNumberFormat="1" applyFont="1" applyFill="1" applyBorder="1" applyAlignment="1">
      <alignment horizontal="left" vertical="top" wrapText="1"/>
    </xf>
    <xf numFmtId="0" fontId="10" fillId="0" borderId="14" xfId="4" applyNumberFormat="1" applyFont="1" applyFill="1" applyBorder="1" applyAlignment="1">
      <alignment horizontal="left" vertical="top" wrapText="1"/>
    </xf>
    <xf numFmtId="0" fontId="7" fillId="0" borderId="9" xfId="4" applyNumberFormat="1" applyFont="1" applyFill="1" applyBorder="1" applyAlignment="1">
      <alignment horizontal="left" vertical="center" wrapText="1"/>
    </xf>
    <xf numFmtId="0" fontId="7" fillId="0" borderId="13" xfId="1" quotePrefix="1" applyFont="1" applyBorder="1" applyAlignment="1">
      <alignment horizontal="left" vertical="center" wrapText="1"/>
    </xf>
    <xf numFmtId="0" fontId="7" fillId="0" borderId="9" xfId="4" quotePrefix="1" applyNumberFormat="1" applyFont="1" applyFill="1" applyBorder="1" applyAlignment="1">
      <alignment horizontal="left" vertical="center" wrapText="1"/>
    </xf>
    <xf numFmtId="0" fontId="7" fillId="0" borderId="13" xfId="4" quotePrefix="1" applyNumberFormat="1" applyFont="1" applyBorder="1" applyAlignment="1">
      <alignment horizontal="left" vertical="center" wrapText="1"/>
    </xf>
    <xf numFmtId="0" fontId="7" fillId="2" borderId="0" xfId="1" applyFont="1" applyFill="1" applyAlignment="1">
      <alignment horizontal="center" vertical="top"/>
    </xf>
    <xf numFmtId="0" fontId="7" fillId="2" borderId="5" xfId="1" applyFont="1" applyFill="1" applyBorder="1" applyAlignment="1">
      <alignment horizontal="center" vertical="top"/>
    </xf>
    <xf numFmtId="0" fontId="7" fillId="2" borderId="27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/>
    </xf>
    <xf numFmtId="0" fontId="7" fillId="2" borderId="6" xfId="1" applyFont="1" applyFill="1" applyBorder="1" applyAlignment="1">
      <alignment horizontal="left" vertical="top" wrapText="1"/>
    </xf>
    <xf numFmtId="0" fontId="7" fillId="2" borderId="7" xfId="1" applyFont="1" applyFill="1" applyBorder="1" applyAlignment="1">
      <alignment horizontal="left" vertical="top" wrapText="1"/>
    </xf>
    <xf numFmtId="0" fontId="7" fillId="2" borderId="15" xfId="1" applyFont="1" applyFill="1" applyBorder="1" applyAlignment="1">
      <alignment horizontal="left" vertical="top" wrapText="1"/>
    </xf>
    <xf numFmtId="0" fontId="7" fillId="2" borderId="10" xfId="1" applyFont="1" applyFill="1" applyBorder="1" applyAlignment="1">
      <alignment horizontal="left" vertical="top" wrapText="1"/>
    </xf>
    <xf numFmtId="0" fontId="7" fillId="2" borderId="4" xfId="1" applyFont="1" applyFill="1" applyBorder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10" fillId="2" borderId="4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19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top" wrapText="1"/>
    </xf>
    <xf numFmtId="0" fontId="7" fillId="2" borderId="0" xfId="1" applyFont="1" applyFill="1" applyAlignment="1">
      <alignment horizontal="center" vertical="top" wrapText="1"/>
    </xf>
    <xf numFmtId="0" fontId="10" fillId="0" borderId="0" xfId="1" applyFont="1" applyAlignment="1">
      <alignment horizontal="center"/>
    </xf>
    <xf numFmtId="0" fontId="7" fillId="2" borderId="4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0" fillId="0" borderId="7" xfId="1" quotePrefix="1" applyFont="1" applyBorder="1" applyAlignment="1">
      <alignment horizontal="center"/>
    </xf>
    <xf numFmtId="0" fontId="10" fillId="2" borderId="18" xfId="1" applyFont="1" applyFill="1" applyBorder="1" applyAlignment="1">
      <alignment horizontal="center" vertical="center"/>
    </xf>
    <xf numFmtId="0" fontId="10" fillId="2" borderId="19" xfId="1" applyFont="1" applyFill="1" applyBorder="1" applyAlignment="1">
      <alignment horizontal="center"/>
    </xf>
    <xf numFmtId="0" fontId="7" fillId="2" borderId="15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left" vertical="top" wrapText="1"/>
    </xf>
    <xf numFmtId="0" fontId="10" fillId="2" borderId="11" xfId="1" applyFont="1" applyFill="1" applyBorder="1" applyAlignment="1">
      <alignment horizontal="left" vertical="top" wrapText="1"/>
    </xf>
    <xf numFmtId="0" fontId="7" fillId="2" borderId="18" xfId="1" quotePrefix="1" applyFont="1" applyFill="1" applyBorder="1" applyAlignment="1">
      <alignment horizontal="left" vertical="center" wrapText="1"/>
    </xf>
    <xf numFmtId="0" fontId="7" fillId="2" borderId="19" xfId="1" quotePrefix="1" applyFont="1" applyFill="1" applyBorder="1" applyAlignment="1">
      <alignment horizontal="left" vertical="center" wrapText="1"/>
    </xf>
    <xf numFmtId="0" fontId="7" fillId="2" borderId="20" xfId="1" quotePrefix="1" applyFont="1" applyFill="1" applyBorder="1" applyAlignment="1">
      <alignment horizontal="left" vertical="center" wrapText="1"/>
    </xf>
    <xf numFmtId="0" fontId="7" fillId="2" borderId="6" xfId="1" quotePrefix="1" applyFont="1" applyFill="1" applyBorder="1" applyAlignment="1">
      <alignment horizontal="left" vertical="center" wrapText="1"/>
    </xf>
    <xf numFmtId="0" fontId="7" fillId="2" borderId="7" xfId="1" quotePrefix="1" applyFont="1" applyFill="1" applyBorder="1" applyAlignment="1">
      <alignment horizontal="left" vertical="center" wrapText="1"/>
    </xf>
    <xf numFmtId="0" fontId="7" fillId="2" borderId="23" xfId="1" quotePrefix="1" applyFont="1" applyFill="1" applyBorder="1" applyAlignment="1">
      <alignment horizontal="left" vertical="center" wrapText="1"/>
    </xf>
    <xf numFmtId="164" fontId="7" fillId="0" borderId="21" xfId="4" applyNumberFormat="1" applyFont="1" applyFill="1" applyBorder="1" applyAlignment="1">
      <alignment horizontal="center" vertical="center" wrapText="1"/>
    </xf>
    <xf numFmtId="164" fontId="7" fillId="0" borderId="24" xfId="4" applyNumberFormat="1" applyFont="1" applyFill="1" applyBorder="1" applyAlignment="1">
      <alignment horizontal="center" vertical="center" wrapText="1"/>
    </xf>
    <xf numFmtId="165" fontId="10" fillId="0" borderId="9" xfId="1" quotePrefix="1" applyNumberFormat="1" applyFont="1" applyBorder="1" applyAlignment="1">
      <alignment horizontal="center" vertical="center" wrapText="1"/>
    </xf>
    <xf numFmtId="165" fontId="10" fillId="0" borderId="11" xfId="1" quotePrefix="1" applyNumberFormat="1" applyFont="1" applyBorder="1" applyAlignment="1">
      <alignment horizontal="center" vertical="center" wrapText="1"/>
    </xf>
    <xf numFmtId="0" fontId="7" fillId="2" borderId="15" xfId="1" quotePrefix="1" applyFont="1" applyFill="1" applyBorder="1" applyAlignment="1">
      <alignment vertical="center" wrapText="1"/>
    </xf>
    <xf numFmtId="0" fontId="7" fillId="2" borderId="10" xfId="1" quotePrefix="1" applyFont="1" applyFill="1" applyBorder="1" applyAlignment="1">
      <alignment vertical="center" wrapText="1"/>
    </xf>
    <xf numFmtId="0" fontId="7" fillId="2" borderId="11" xfId="1" quotePrefix="1" applyFont="1" applyFill="1" applyBorder="1" applyAlignment="1">
      <alignment vertical="center" wrapText="1"/>
    </xf>
    <xf numFmtId="49" fontId="10" fillId="0" borderId="9" xfId="4" quotePrefix="1" applyNumberFormat="1" applyFont="1" applyFill="1" applyBorder="1" applyAlignment="1">
      <alignment horizontal="center" vertical="center" wrapText="1"/>
    </xf>
    <xf numFmtId="49" fontId="10" fillId="0" borderId="11" xfId="4" quotePrefix="1" applyNumberFormat="1" applyFont="1" applyFill="1" applyBorder="1" applyAlignment="1">
      <alignment horizontal="center" vertical="center" wrapText="1"/>
    </xf>
    <xf numFmtId="165" fontId="10" fillId="0" borderId="10" xfId="1" quotePrefix="1" applyNumberFormat="1" applyFont="1" applyBorder="1" applyAlignment="1">
      <alignment horizontal="center" vertical="center" wrapText="1"/>
    </xf>
    <xf numFmtId="165" fontId="10" fillId="0" borderId="16" xfId="1" quotePrefix="1" applyNumberFormat="1" applyFont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vertical="center"/>
    </xf>
    <xf numFmtId="0" fontId="7" fillId="2" borderId="10" xfId="1" applyFont="1" applyFill="1" applyBorder="1" applyAlignment="1">
      <alignment vertical="center"/>
    </xf>
    <xf numFmtId="0" fontId="7" fillId="2" borderId="11" xfId="1" applyFont="1" applyFill="1" applyBorder="1" applyAlignment="1">
      <alignment vertical="center"/>
    </xf>
    <xf numFmtId="43" fontId="10" fillId="0" borderId="9" xfId="3" applyFont="1" applyFill="1" applyBorder="1" applyAlignment="1">
      <alignment horizontal="center" vertical="center" wrapText="1"/>
    </xf>
    <xf numFmtId="43" fontId="10" fillId="0" borderId="11" xfId="3" applyFont="1" applyFill="1" applyBorder="1" applyAlignment="1">
      <alignment horizontal="center" vertical="center" wrapText="1"/>
    </xf>
    <xf numFmtId="43" fontId="10" fillId="0" borderId="14" xfId="3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7" fillId="2" borderId="5" xfId="1" applyFont="1" applyFill="1" applyBorder="1" applyAlignment="1">
      <alignment horizontal="left" vertical="top" wrapText="1"/>
    </xf>
    <xf numFmtId="0" fontId="7" fillId="2" borderId="6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7" fillId="2" borderId="12" xfId="1" applyFont="1" applyFill="1" applyBorder="1" applyAlignment="1">
      <alignment vertical="center"/>
    </xf>
    <xf numFmtId="0" fontId="7" fillId="2" borderId="13" xfId="1" applyFont="1" applyFill="1" applyBorder="1" applyAlignment="1">
      <alignment vertical="center"/>
    </xf>
    <xf numFmtId="43" fontId="13" fillId="0" borderId="9" xfId="2" applyNumberFormat="1" applyFont="1" applyFill="1" applyBorder="1" applyAlignment="1">
      <alignment horizontal="center" vertical="center" wrapText="1"/>
    </xf>
    <xf numFmtId="43" fontId="13" fillId="0" borderId="11" xfId="2" applyNumberFormat="1" applyFont="1" applyFill="1" applyBorder="1" applyAlignment="1">
      <alignment horizontal="center" vertical="center" wrapText="1"/>
    </xf>
    <xf numFmtId="43" fontId="13" fillId="0" borderId="13" xfId="2" applyNumberFormat="1" applyFont="1" applyFill="1" applyBorder="1" applyAlignment="1">
      <alignment horizontal="center" vertical="center" wrapText="1"/>
    </xf>
    <xf numFmtId="43" fontId="13" fillId="0" borderId="14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2" borderId="4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2" fillId="2" borderId="5" xfId="1" applyFont="1" applyFill="1" applyBorder="1" applyAlignment="1">
      <alignment horizontal="center"/>
    </xf>
    <xf numFmtId="167" fontId="10" fillId="0" borderId="9" xfId="4" quotePrefix="1" applyNumberFormat="1" applyFont="1" applyFill="1" applyBorder="1" applyAlignment="1">
      <alignment horizontal="left" vertical="top" wrapText="1"/>
    </xf>
    <xf numFmtId="167" fontId="10" fillId="0" borderId="14" xfId="4" quotePrefix="1" applyNumberFormat="1" applyFont="1" applyFill="1" applyBorder="1" applyAlignment="1">
      <alignment horizontal="left" vertical="top" wrapText="1"/>
    </xf>
    <xf numFmtId="164" fontId="7" fillId="0" borderId="20" xfId="4" applyNumberFormat="1" applyFont="1" applyFill="1" applyBorder="1" applyAlignment="1">
      <alignment horizontal="center" vertical="center" wrapText="1"/>
    </xf>
    <xf numFmtId="164" fontId="7" fillId="0" borderId="23" xfId="4" applyNumberFormat="1" applyFont="1" applyFill="1" applyBorder="1" applyAlignment="1">
      <alignment horizontal="center" vertical="center" wrapText="1"/>
    </xf>
    <xf numFmtId="164" fontId="10" fillId="0" borderId="9" xfId="4" applyNumberFormat="1" applyFont="1" applyFill="1" applyBorder="1" applyAlignment="1">
      <alignment horizontal="left" vertical="top" wrapText="1"/>
    </xf>
    <xf numFmtId="164" fontId="10" fillId="0" borderId="14" xfId="4" applyNumberFormat="1" applyFont="1" applyFill="1" applyBorder="1" applyAlignment="1">
      <alignment horizontal="left" vertical="top" wrapText="1"/>
    </xf>
    <xf numFmtId="43" fontId="10" fillId="0" borderId="13" xfId="3" applyFont="1" applyFill="1" applyBorder="1" applyAlignment="1">
      <alignment horizontal="center" vertical="center" wrapText="1"/>
    </xf>
    <xf numFmtId="43" fontId="10" fillId="0" borderId="10" xfId="3" applyFont="1" applyFill="1" applyBorder="1" applyAlignment="1">
      <alignment horizontal="center" vertical="center" wrapText="1"/>
    </xf>
    <xf numFmtId="43" fontId="10" fillId="0" borderId="16" xfId="3" applyFont="1" applyFill="1" applyBorder="1" applyAlignment="1">
      <alignment horizontal="center" vertical="center" wrapText="1"/>
    </xf>
    <xf numFmtId="43" fontId="10" fillId="0" borderId="0" xfId="3" applyFont="1" applyBorder="1" applyAlignment="1">
      <alignment horizontal="center"/>
    </xf>
    <xf numFmtId="0" fontId="7" fillId="2" borderId="0" xfId="1" applyFont="1" applyFill="1" applyBorder="1" applyAlignment="1">
      <alignment horizontal="center"/>
    </xf>
    <xf numFmtId="0" fontId="7" fillId="2" borderId="4" xfId="1" applyFont="1" applyFill="1" applyBorder="1" applyAlignment="1">
      <alignment vertical="top" wrapText="1"/>
    </xf>
    <xf numFmtId="0" fontId="7" fillId="2" borderId="0" xfId="1" applyFont="1" applyFill="1" applyBorder="1" applyAlignment="1">
      <alignment horizontal="right" wrapText="1"/>
    </xf>
    <xf numFmtId="0" fontId="7" fillId="2" borderId="7" xfId="1" applyFont="1" applyFill="1" applyBorder="1" applyAlignment="1">
      <alignment horizontal="center" vertical="center"/>
    </xf>
  </cellXfs>
  <cellStyles count="5">
    <cellStyle name="Comma 2" xfId="3" xr:uid="{A033F3A4-1221-4150-9442-6199B748B578}"/>
    <cellStyle name="Currency 2" xfId="4" xr:uid="{F079D8A9-9CC3-4844-89C1-4AFBEE79A4D1}"/>
    <cellStyle name="Hyperlink" xfId="2" builtinId="8"/>
    <cellStyle name="Normal" xfId="0" builtinId="0"/>
    <cellStyle name="Normal 2" xfId="1" xr:uid="{BCEAB844-E093-4521-B73B-B87872010C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390525</xdr:colOff>
          <xdr:row>41</xdr:row>
          <xdr:rowOff>142875</xdr:rowOff>
        </xdr:from>
        <xdr:to>
          <xdr:col>3</xdr:col>
          <xdr:colOff>657225</xdr:colOff>
          <xdr:row>43</xdr:row>
          <xdr:rowOff>66675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647700</xdr:colOff>
          <xdr:row>41</xdr:row>
          <xdr:rowOff>152400</xdr:rowOff>
        </xdr:from>
        <xdr:to>
          <xdr:col>8</xdr:col>
          <xdr:colOff>847725</xdr:colOff>
          <xdr:row>43</xdr:row>
          <xdr:rowOff>76200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45</xdr:row>
          <xdr:rowOff>219075</xdr:rowOff>
        </xdr:from>
        <xdr:to>
          <xdr:col>7</xdr:col>
          <xdr:colOff>0</xdr:colOff>
          <xdr:row>47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1190625</xdr:colOff>
          <xdr:row>41</xdr:row>
          <xdr:rowOff>161925</xdr:rowOff>
        </xdr:from>
        <xdr:to>
          <xdr:col>2</xdr:col>
          <xdr:colOff>76200</xdr:colOff>
          <xdr:row>43</xdr:row>
          <xdr:rowOff>85725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1074171</xdr:colOff>
          <xdr:row>44</xdr:row>
          <xdr:rowOff>74515</xdr:rowOff>
        </xdr:from>
        <xdr:to>
          <xdr:col>2</xdr:col>
          <xdr:colOff>1896949</xdr:colOff>
          <xdr:row>47</xdr:row>
          <xdr:rowOff>95943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1804421" y="11679140"/>
              <a:ext cx="2156278" cy="656428"/>
              <a:chOff x="4093322" y="9953618"/>
              <a:chExt cx="1033473" cy="669916"/>
            </a:xfrm>
          </xdr:grpSpPr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4098094" y="9953618"/>
                <a:ext cx="1028701" cy="37858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4093322" y="10242495"/>
                <a:ext cx="1026320" cy="3810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219189</xdr:colOff>
          <xdr:row>44</xdr:row>
          <xdr:rowOff>96950</xdr:rowOff>
        </xdr:from>
        <xdr:to>
          <xdr:col>5</xdr:col>
          <xdr:colOff>695552</xdr:colOff>
          <xdr:row>47</xdr:row>
          <xdr:rowOff>121553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5759564" y="11701575"/>
              <a:ext cx="1111363" cy="659603"/>
              <a:chOff x="4093413" y="9953575"/>
              <a:chExt cx="1033475" cy="670087"/>
            </a:xfrm>
          </xdr:grpSpPr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4098187" y="9953575"/>
                <a:ext cx="1028701" cy="3786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4093413" y="10242653"/>
                <a:ext cx="1026325" cy="3810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607218</xdr:colOff>
          <xdr:row>44</xdr:row>
          <xdr:rowOff>86518</xdr:rowOff>
        </xdr:from>
        <xdr:to>
          <xdr:col>8</xdr:col>
          <xdr:colOff>0</xdr:colOff>
          <xdr:row>47</xdr:row>
          <xdr:rowOff>107946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7989093" y="11691143"/>
              <a:ext cx="1805782" cy="656428"/>
              <a:chOff x="4093454" y="9953618"/>
              <a:chExt cx="1033460" cy="669916"/>
            </a:xfrm>
          </xdr:grpSpPr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4098214" y="9953618"/>
                <a:ext cx="1028700" cy="37858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4093454" y="10242495"/>
                <a:ext cx="1026320" cy="3810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462647</xdr:colOff>
          <xdr:row>56</xdr:row>
          <xdr:rowOff>6</xdr:rowOff>
        </xdr:from>
        <xdr:to>
          <xdr:col>1</xdr:col>
          <xdr:colOff>925291</xdr:colOff>
          <xdr:row>58</xdr:row>
          <xdr:rowOff>27221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62647" y="14160506"/>
              <a:ext cx="1192894" cy="471715"/>
              <a:chOff x="4105221" y="9931257"/>
              <a:chExt cx="1033476" cy="759222"/>
            </a:xfrm>
          </xdr:grpSpPr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4109995" y="9931257"/>
                <a:ext cx="1028702" cy="3785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4105221" y="10309444"/>
                <a:ext cx="1026320" cy="38103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607218</xdr:colOff>
          <xdr:row>44</xdr:row>
          <xdr:rowOff>86518</xdr:rowOff>
        </xdr:from>
        <xdr:to>
          <xdr:col>12</xdr:col>
          <xdr:colOff>0</xdr:colOff>
          <xdr:row>47</xdr:row>
          <xdr:rowOff>107946</xdr:rowOff>
        </xdr:to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10402093" y="11691143"/>
              <a:ext cx="4218782" cy="656428"/>
              <a:chOff x="4093454" y="9953618"/>
              <a:chExt cx="1033461" cy="669916"/>
            </a:xfrm>
          </xdr:grpSpPr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4098215" y="9953618"/>
                <a:ext cx="1028700" cy="37858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4093454" y="10242495"/>
                <a:ext cx="1026320" cy="3810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PH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</a:t>
                </a:r>
              </a:p>
            </xdr:txBody>
          </xdr:sp>
        </xdr:grp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208\TIP%20Business%20Unit\windows\TEMP\&#35373;&#20633;&#35430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208\SMT%20Business%20Unit\DOA_2nd%20ana\2nd%20ANA%20Excel%20file\EXCEL%20FILE%20NEW%202ND%20ANA%20%20MARCH.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過不足比較表 結果"/>
      <sheetName val="設備過不足比較表"/>
      <sheetName val="部品点数"/>
      <sheetName val="過不足試算結果"/>
    </sheetNames>
    <sheetDataSet>
      <sheetData sheetId="0"/>
      <sheetData sheetId="1"/>
      <sheetData sheetId="2"/>
      <sheetData sheetId="3">
        <row r="5">
          <cell r="X5">
            <v>438.45814977973566</v>
          </cell>
          <cell r="Y5">
            <v>1</v>
          </cell>
          <cell r="Z5">
            <v>168.85588420390184</v>
          </cell>
        </row>
        <row r="6">
          <cell r="Y6">
            <v>1</v>
          </cell>
          <cell r="Z6">
            <v>0</v>
          </cell>
        </row>
        <row r="7">
          <cell r="Y7">
            <v>1</v>
          </cell>
          <cell r="Z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 DATA_WK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64E5-4558-4971-8A4F-1172D8F6EFCA}">
  <sheetPr codeName="Sheet1">
    <pageSetUpPr fitToPage="1"/>
  </sheetPr>
  <dimension ref="A1:R76"/>
  <sheetViews>
    <sheetView tabSelected="1" view="pageBreakPreview" topLeftCell="A37" zoomScale="60" zoomScaleNormal="70" zoomScalePageLayoutView="40" workbookViewId="0">
      <selection activeCell="G51" sqref="G51"/>
    </sheetView>
  </sheetViews>
  <sheetFormatPr defaultColWidth="9.140625" defaultRowHeight="12.75" x14ac:dyDescent="0.2"/>
  <cols>
    <col min="1" max="1" width="10.85546875" style="20" customWidth="1"/>
    <col min="2" max="2" width="20" style="1" customWidth="1"/>
    <col min="3" max="3" width="41.140625" style="1" customWidth="1"/>
    <col min="4" max="4" width="10.85546875" style="1" customWidth="1"/>
    <col min="5" max="5" width="9.42578125" style="1" customWidth="1"/>
    <col min="6" max="8" width="18" style="53" customWidth="1"/>
    <col min="9" max="11" width="18" style="1" customWidth="1"/>
    <col min="12" max="12" width="18" style="53" customWidth="1"/>
    <col min="13" max="15" width="18" style="1" customWidth="1"/>
    <col min="16" max="16" width="12.5703125" style="1" bestFit="1" customWidth="1"/>
    <col min="17" max="21" width="9.140625" style="1"/>
    <col min="22" max="22" width="0" style="1" hidden="1" customWidth="1"/>
    <col min="23" max="16384" width="9.140625" style="1"/>
  </cols>
  <sheetData>
    <row r="1" spans="1:18" ht="23.1" customHeight="1" x14ac:dyDescent="0.2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6"/>
    </row>
    <row r="2" spans="1:18" ht="18" customHeight="1" x14ac:dyDescent="0.2">
      <c r="A2" s="167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9"/>
    </row>
    <row r="3" spans="1:18" ht="18" customHeight="1" x14ac:dyDescent="0.2">
      <c r="A3" s="167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9"/>
    </row>
    <row r="4" spans="1:18" ht="8.25" customHeight="1" x14ac:dyDescent="0.2">
      <c r="A4" s="167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9"/>
    </row>
    <row r="5" spans="1:18" ht="0.75" customHeight="1" x14ac:dyDescent="0.2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2"/>
    </row>
    <row r="6" spans="1:18" ht="4.1500000000000004" customHeight="1" x14ac:dyDescent="0.25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5"/>
    </row>
    <row r="7" spans="1:18" s="11" customFormat="1" ht="18.75" customHeight="1" x14ac:dyDescent="0.25">
      <c r="A7" s="9" t="s">
        <v>2</v>
      </c>
      <c r="B7" s="2"/>
      <c r="C7" s="153"/>
      <c r="D7" s="153"/>
      <c r="E7" s="153"/>
      <c r="F7" s="3"/>
      <c r="G7" s="10"/>
      <c r="H7" s="10"/>
      <c r="I7" s="108"/>
      <c r="J7" s="108"/>
      <c r="K7" s="108"/>
      <c r="L7" s="108"/>
      <c r="M7" s="108"/>
      <c r="N7" s="108"/>
      <c r="O7" s="154"/>
    </row>
    <row r="8" spans="1:18" s="11" customFormat="1" ht="4.1500000000000004" customHeight="1" x14ac:dyDescent="0.25">
      <c r="A8" s="176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8"/>
    </row>
    <row r="9" spans="1:18" s="11" customFormat="1" ht="18.75" customHeight="1" x14ac:dyDescent="0.25">
      <c r="A9" s="9" t="s">
        <v>3</v>
      </c>
      <c r="B9" s="2"/>
      <c r="C9" s="153"/>
      <c r="D9" s="153"/>
      <c r="E9" s="153"/>
      <c r="F9" s="3"/>
      <c r="G9" s="10"/>
      <c r="H9" s="10"/>
      <c r="I9" s="108"/>
      <c r="J9" s="108"/>
      <c r="K9" s="108"/>
      <c r="L9" s="108"/>
      <c r="M9" s="108"/>
      <c r="N9" s="108"/>
      <c r="O9" s="154"/>
    </row>
    <row r="10" spans="1:18" s="11" customFormat="1" ht="4.1500000000000004" customHeight="1" x14ac:dyDescent="0.25">
      <c r="A10" s="173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5"/>
    </row>
    <row r="11" spans="1:18" s="11" customFormat="1" ht="18.75" customHeight="1" x14ac:dyDescent="0.25">
      <c r="A11" s="9" t="s">
        <v>4</v>
      </c>
      <c r="B11" s="2"/>
      <c r="C11" s="153"/>
      <c r="D11" s="153"/>
      <c r="E11" s="153"/>
      <c r="F11" s="3"/>
      <c r="G11" s="10"/>
      <c r="H11" s="10"/>
      <c r="I11" s="108"/>
      <c r="J11" s="108"/>
      <c r="K11" s="108"/>
      <c r="L11" s="108"/>
      <c r="M11" s="108"/>
      <c r="N11" s="108"/>
      <c r="O11" s="154"/>
    </row>
    <row r="12" spans="1:18" s="11" customFormat="1" ht="4.1500000000000004" customHeight="1" x14ac:dyDescent="0.25">
      <c r="A12" s="9"/>
      <c r="B12" s="2"/>
      <c r="C12" s="4"/>
      <c r="D12" s="4"/>
      <c r="E12" s="4"/>
      <c r="F12" s="4"/>
      <c r="G12" s="10"/>
      <c r="H12" s="10"/>
      <c r="I12" s="108"/>
      <c r="J12" s="108"/>
      <c r="K12" s="108"/>
      <c r="L12" s="108"/>
      <c r="M12" s="108"/>
      <c r="N12" s="108"/>
      <c r="O12" s="154"/>
    </row>
    <row r="13" spans="1:18" s="11" customFormat="1" ht="15.75" customHeight="1" x14ac:dyDescent="0.25">
      <c r="A13" s="9" t="s">
        <v>5</v>
      </c>
      <c r="B13" s="2"/>
      <c r="C13" s="153"/>
      <c r="D13" s="153"/>
      <c r="E13" s="153"/>
      <c r="F13" s="3"/>
      <c r="G13" s="10"/>
      <c r="H13" s="10"/>
      <c r="I13" s="108"/>
      <c r="J13" s="108"/>
      <c r="K13" s="108"/>
      <c r="L13" s="108"/>
      <c r="M13" s="108"/>
      <c r="N13" s="108"/>
      <c r="O13" s="154"/>
    </row>
    <row r="14" spans="1:18" s="11" customFormat="1" ht="18" x14ac:dyDescent="0.25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7"/>
    </row>
    <row r="15" spans="1:18" s="54" customFormat="1" ht="39.75" customHeight="1" x14ac:dyDescent="0.25">
      <c r="A15" s="158" t="s">
        <v>6</v>
      </c>
      <c r="B15" s="159"/>
      <c r="C15" s="159"/>
      <c r="D15" s="159"/>
      <c r="E15" s="159"/>
      <c r="F15" s="160"/>
      <c r="G15" s="161"/>
      <c r="H15" s="162"/>
      <c r="I15" s="162"/>
      <c r="J15" s="162"/>
      <c r="K15" s="162"/>
      <c r="L15" s="162"/>
      <c r="M15" s="162"/>
      <c r="N15" s="161"/>
      <c r="O15" s="163"/>
      <c r="R15" s="55"/>
    </row>
    <row r="16" spans="1:18" s="54" customFormat="1" ht="24.95" customHeight="1" x14ac:dyDescent="0.25">
      <c r="A16" s="147" t="s">
        <v>7</v>
      </c>
      <c r="B16" s="148"/>
      <c r="C16" s="148"/>
      <c r="D16" s="148"/>
      <c r="E16" s="149"/>
      <c r="F16" s="185"/>
      <c r="G16" s="185"/>
      <c r="H16" s="185"/>
      <c r="I16" s="185"/>
      <c r="J16" s="185"/>
      <c r="K16" s="185"/>
      <c r="L16" s="185"/>
      <c r="M16" s="185"/>
      <c r="N16" s="186"/>
      <c r="O16" s="187"/>
    </row>
    <row r="17" spans="1:16" s="54" customFormat="1" ht="24.95" customHeight="1" x14ac:dyDescent="0.25">
      <c r="A17" s="147" t="s">
        <v>8</v>
      </c>
      <c r="B17" s="148"/>
      <c r="C17" s="148"/>
      <c r="D17" s="148"/>
      <c r="E17" s="149"/>
      <c r="F17" s="150"/>
      <c r="G17" s="151"/>
      <c r="H17" s="150"/>
      <c r="I17" s="151"/>
      <c r="J17" s="150"/>
      <c r="K17" s="151"/>
      <c r="L17" s="150"/>
      <c r="M17" s="151"/>
      <c r="N17" s="151"/>
      <c r="O17" s="152"/>
    </row>
    <row r="18" spans="1:16" s="3" customFormat="1" ht="34.5" customHeight="1" x14ac:dyDescent="0.25">
      <c r="A18" s="5" t="s">
        <v>9</v>
      </c>
      <c r="B18" s="145" t="s">
        <v>10</v>
      </c>
      <c r="C18" s="146"/>
      <c r="D18" s="6" t="s">
        <v>11</v>
      </c>
      <c r="E18" s="6" t="s">
        <v>12</v>
      </c>
      <c r="F18" s="7" t="s">
        <v>13</v>
      </c>
      <c r="G18" s="7" t="s">
        <v>14</v>
      </c>
      <c r="H18" s="7" t="s">
        <v>13</v>
      </c>
      <c r="I18" s="7" t="s">
        <v>14</v>
      </c>
      <c r="J18" s="7" t="s">
        <v>13</v>
      </c>
      <c r="K18" s="7" t="s">
        <v>14</v>
      </c>
      <c r="L18" s="7" t="s">
        <v>13</v>
      </c>
      <c r="M18" s="7" t="s">
        <v>14</v>
      </c>
      <c r="N18" s="7" t="s">
        <v>13</v>
      </c>
      <c r="O18" s="8" t="s">
        <v>14</v>
      </c>
    </row>
    <row r="19" spans="1:16" s="3" customFormat="1" ht="25.5" customHeight="1" x14ac:dyDescent="0.25">
      <c r="A19" s="56"/>
      <c r="B19" s="126"/>
      <c r="C19" s="127"/>
      <c r="D19" s="59"/>
      <c r="E19" s="59"/>
      <c r="F19" s="87"/>
      <c r="G19" s="87"/>
      <c r="H19" s="87"/>
      <c r="I19" s="87"/>
      <c r="J19" s="87"/>
      <c r="K19" s="87"/>
      <c r="L19" s="87"/>
      <c r="M19" s="87"/>
      <c r="N19" s="87"/>
      <c r="O19" s="88"/>
      <c r="P19" s="60"/>
    </row>
    <row r="20" spans="1:16" s="3" customFormat="1" ht="25.5" customHeight="1" x14ac:dyDescent="0.25">
      <c r="A20" s="56"/>
      <c r="B20" s="126"/>
      <c r="C20" s="127"/>
      <c r="D20" s="59"/>
      <c r="E20" s="59"/>
      <c r="F20" s="87"/>
      <c r="G20" s="87"/>
      <c r="H20" s="87"/>
      <c r="I20" s="87"/>
      <c r="J20" s="87"/>
      <c r="K20" s="87"/>
      <c r="L20" s="87"/>
      <c r="M20" s="87"/>
      <c r="N20" s="87"/>
      <c r="O20" s="88"/>
      <c r="P20" s="60"/>
    </row>
    <row r="21" spans="1:16" s="3" customFormat="1" ht="25.5" customHeight="1" x14ac:dyDescent="0.25">
      <c r="A21" s="56"/>
      <c r="B21" s="126"/>
      <c r="C21" s="127"/>
      <c r="D21" s="59"/>
      <c r="E21" s="59"/>
      <c r="F21" s="87"/>
      <c r="G21" s="87"/>
      <c r="H21" s="87"/>
      <c r="I21" s="87"/>
      <c r="J21" s="87"/>
      <c r="K21" s="87"/>
      <c r="L21" s="87"/>
      <c r="M21" s="87"/>
      <c r="N21" s="87"/>
      <c r="O21" s="88"/>
      <c r="P21" s="60"/>
    </row>
    <row r="22" spans="1:16" s="3" customFormat="1" ht="25.5" customHeight="1" x14ac:dyDescent="0.25">
      <c r="A22" s="56"/>
      <c r="B22" s="126"/>
      <c r="C22" s="127"/>
      <c r="D22" s="59"/>
      <c r="E22" s="59"/>
      <c r="F22" s="87"/>
      <c r="G22" s="87"/>
      <c r="H22" s="87"/>
      <c r="I22" s="87"/>
      <c r="J22" s="87"/>
      <c r="K22" s="87"/>
      <c r="L22" s="87"/>
      <c r="M22" s="87"/>
      <c r="N22" s="87"/>
      <c r="O22" s="88"/>
      <c r="P22" s="60"/>
    </row>
    <row r="23" spans="1:16" s="3" customFormat="1" ht="25.5" customHeight="1" x14ac:dyDescent="0.25">
      <c r="A23" s="56"/>
      <c r="B23" s="126"/>
      <c r="C23" s="127"/>
      <c r="D23" s="59"/>
      <c r="E23" s="59"/>
      <c r="F23" s="87"/>
      <c r="G23" s="87"/>
      <c r="H23" s="87"/>
      <c r="I23" s="87"/>
      <c r="J23" s="87"/>
      <c r="K23" s="87"/>
      <c r="L23" s="87"/>
      <c r="M23" s="87"/>
      <c r="N23" s="87"/>
      <c r="O23" s="88"/>
      <c r="P23" s="60"/>
    </row>
    <row r="24" spans="1:16" s="3" customFormat="1" ht="25.5" customHeight="1" x14ac:dyDescent="0.25">
      <c r="A24" s="56"/>
      <c r="B24" s="126"/>
      <c r="C24" s="127"/>
      <c r="D24" s="59"/>
      <c r="E24" s="59"/>
      <c r="F24" s="87"/>
      <c r="G24" s="87"/>
      <c r="H24" s="87"/>
      <c r="I24" s="87"/>
      <c r="J24" s="87"/>
      <c r="K24" s="87"/>
      <c r="L24" s="87"/>
      <c r="M24" s="87"/>
      <c r="N24" s="87"/>
      <c r="O24" s="88"/>
      <c r="P24" s="60"/>
    </row>
    <row r="25" spans="1:16" s="3" customFormat="1" ht="25.5" customHeight="1" x14ac:dyDescent="0.25">
      <c r="A25" s="56"/>
      <c r="B25" s="126"/>
      <c r="C25" s="127"/>
      <c r="D25" s="59"/>
      <c r="E25" s="59"/>
      <c r="F25" s="87"/>
      <c r="G25" s="87"/>
      <c r="H25" s="87"/>
      <c r="I25" s="87"/>
      <c r="J25" s="87"/>
      <c r="K25" s="87"/>
      <c r="L25" s="87"/>
      <c r="M25" s="87"/>
      <c r="N25" s="87"/>
      <c r="O25" s="88"/>
      <c r="P25" s="60"/>
    </row>
    <row r="26" spans="1:16" s="3" customFormat="1" ht="25.5" customHeight="1" x14ac:dyDescent="0.25">
      <c r="A26" s="56"/>
      <c r="B26" s="126"/>
      <c r="C26" s="127"/>
      <c r="D26" s="59"/>
      <c r="E26" s="59"/>
      <c r="F26" s="87"/>
      <c r="G26" s="87"/>
      <c r="H26" s="87"/>
      <c r="I26" s="87"/>
      <c r="J26" s="87"/>
      <c r="K26" s="87"/>
      <c r="L26" s="87"/>
      <c r="M26" s="87"/>
      <c r="N26" s="87"/>
      <c r="O26" s="88"/>
      <c r="P26" s="60"/>
    </row>
    <row r="27" spans="1:16" s="3" customFormat="1" ht="25.5" customHeight="1" x14ac:dyDescent="0.25">
      <c r="A27" s="56"/>
      <c r="B27" s="126"/>
      <c r="C27" s="127"/>
      <c r="D27" s="59"/>
      <c r="E27" s="59"/>
      <c r="F27" s="87"/>
      <c r="G27" s="87"/>
      <c r="H27" s="87"/>
      <c r="I27" s="87"/>
      <c r="J27" s="87"/>
      <c r="K27" s="87"/>
      <c r="L27" s="87"/>
      <c r="M27" s="87"/>
      <c r="N27" s="87"/>
      <c r="O27" s="88"/>
      <c r="P27" s="60"/>
    </row>
    <row r="28" spans="1:16" s="3" customFormat="1" ht="25.5" customHeight="1" x14ac:dyDescent="0.25">
      <c r="A28" s="56"/>
      <c r="B28" s="126"/>
      <c r="C28" s="127"/>
      <c r="D28" s="59"/>
      <c r="E28" s="59"/>
      <c r="F28" s="87"/>
      <c r="G28" s="87"/>
      <c r="H28" s="87"/>
      <c r="I28" s="87"/>
      <c r="J28" s="87"/>
      <c r="K28" s="87"/>
      <c r="L28" s="87"/>
      <c r="M28" s="87"/>
      <c r="N28" s="87"/>
      <c r="O28" s="88"/>
      <c r="P28" s="60"/>
    </row>
    <row r="29" spans="1:16" s="3" customFormat="1" ht="25.5" customHeight="1" x14ac:dyDescent="0.25">
      <c r="A29" s="56"/>
      <c r="B29" s="126"/>
      <c r="C29" s="127"/>
      <c r="D29" s="59"/>
      <c r="E29" s="59"/>
      <c r="F29" s="87"/>
      <c r="G29" s="87"/>
      <c r="H29" s="87"/>
      <c r="I29" s="87"/>
      <c r="J29" s="87"/>
      <c r="K29" s="87"/>
      <c r="L29" s="87"/>
      <c r="M29" s="87"/>
      <c r="N29" s="87"/>
      <c r="O29" s="88"/>
      <c r="P29" s="60"/>
    </row>
    <row r="30" spans="1:16" s="3" customFormat="1" ht="25.5" customHeight="1" x14ac:dyDescent="0.25">
      <c r="A30" s="56"/>
      <c r="B30" s="126"/>
      <c r="C30" s="127"/>
      <c r="D30" s="59"/>
      <c r="E30" s="59"/>
      <c r="F30" s="89"/>
      <c r="G30" s="87"/>
      <c r="H30" s="87"/>
      <c r="I30" s="87"/>
      <c r="J30" s="87"/>
      <c r="K30" s="87"/>
      <c r="L30" s="87"/>
      <c r="M30" s="87"/>
      <c r="N30" s="87"/>
      <c r="O30" s="88"/>
    </row>
    <row r="31" spans="1:16" s="3" customFormat="1" ht="25.5" customHeight="1" x14ac:dyDescent="0.25">
      <c r="A31" s="56"/>
      <c r="B31" s="126"/>
      <c r="C31" s="127"/>
      <c r="D31" s="59"/>
      <c r="E31" s="59"/>
      <c r="F31" s="89"/>
      <c r="G31" s="87"/>
      <c r="H31" s="87"/>
      <c r="I31" s="87"/>
      <c r="J31" s="87"/>
      <c r="K31" s="87"/>
      <c r="L31" s="87"/>
      <c r="M31" s="87"/>
      <c r="N31" s="87"/>
      <c r="O31" s="88"/>
    </row>
    <row r="32" spans="1:16" s="3" customFormat="1" ht="25.5" customHeight="1" x14ac:dyDescent="0.25">
      <c r="A32" s="56"/>
      <c r="B32" s="57"/>
      <c r="C32" s="58"/>
      <c r="D32" s="6"/>
      <c r="E32" s="59"/>
      <c r="F32" s="90" t="s">
        <v>14</v>
      </c>
      <c r="G32" s="91">
        <f>SUM(G19:G31)</f>
        <v>0</v>
      </c>
      <c r="H32" s="90" t="s">
        <v>14</v>
      </c>
      <c r="I32" s="91">
        <f>SUM(I19:I31)</f>
        <v>0</v>
      </c>
      <c r="J32" s="90" t="s">
        <v>14</v>
      </c>
      <c r="K32" s="91">
        <f>SUM(K19:K31)</f>
        <v>0</v>
      </c>
      <c r="L32" s="90" t="s">
        <v>14</v>
      </c>
      <c r="M32" s="91">
        <f>SUM(M19:M31)</f>
        <v>0</v>
      </c>
      <c r="N32" s="90" t="s">
        <v>14</v>
      </c>
      <c r="O32" s="92">
        <f>SUM(O19:O31)</f>
        <v>0</v>
      </c>
    </row>
    <row r="33" spans="1:16" s="3" customFormat="1" ht="25.5" customHeight="1" x14ac:dyDescent="0.25">
      <c r="A33" s="56"/>
      <c r="B33" s="57"/>
      <c r="C33" s="58"/>
      <c r="D33" s="6"/>
      <c r="E33" s="59"/>
      <c r="F33" s="93" t="s">
        <v>15</v>
      </c>
      <c r="G33" s="91">
        <v>0</v>
      </c>
      <c r="H33" s="93" t="s">
        <v>15</v>
      </c>
      <c r="I33" s="91">
        <v>0</v>
      </c>
      <c r="J33" s="93" t="s">
        <v>15</v>
      </c>
      <c r="K33" s="91"/>
      <c r="L33" s="93" t="s">
        <v>15</v>
      </c>
      <c r="M33" s="91"/>
      <c r="N33" s="93" t="s">
        <v>15</v>
      </c>
      <c r="O33" s="92"/>
    </row>
    <row r="34" spans="1:16" s="3" customFormat="1" ht="25.5" customHeight="1" x14ac:dyDescent="0.25">
      <c r="A34" s="56"/>
      <c r="B34" s="57"/>
      <c r="C34" s="58"/>
      <c r="D34" s="6"/>
      <c r="E34" s="59"/>
      <c r="F34" s="94" t="s">
        <v>16</v>
      </c>
      <c r="G34" s="179"/>
      <c r="H34" s="95" t="s">
        <v>16</v>
      </c>
      <c r="I34" s="179"/>
      <c r="J34" s="95" t="s">
        <v>16</v>
      </c>
      <c r="K34" s="179"/>
      <c r="L34" s="95" t="s">
        <v>16</v>
      </c>
      <c r="M34" s="179"/>
      <c r="N34" s="95" t="s">
        <v>16</v>
      </c>
      <c r="O34" s="180"/>
    </row>
    <row r="35" spans="1:16" s="3" customFormat="1" ht="25.5" customHeight="1" x14ac:dyDescent="0.25">
      <c r="A35" s="56"/>
      <c r="B35" s="57"/>
      <c r="C35" s="58"/>
      <c r="D35" s="6"/>
      <c r="E35" s="59"/>
      <c r="F35" s="94" t="s">
        <v>17</v>
      </c>
      <c r="G35" s="183">
        <f>G32-G33</f>
        <v>0</v>
      </c>
      <c r="H35" s="96" t="s">
        <v>17</v>
      </c>
      <c r="I35" s="183">
        <f>I32-I33</f>
        <v>0</v>
      </c>
      <c r="J35" s="96" t="s">
        <v>17</v>
      </c>
      <c r="K35" s="183">
        <f>K32-K33</f>
        <v>0</v>
      </c>
      <c r="L35" s="96" t="s">
        <v>17</v>
      </c>
      <c r="M35" s="183">
        <f>M32-M33</f>
        <v>0</v>
      </c>
      <c r="N35" s="96" t="s">
        <v>17</v>
      </c>
      <c r="O35" s="184">
        <f>O32-O33</f>
        <v>0</v>
      </c>
      <c r="P35" s="61"/>
    </row>
    <row r="36" spans="1:16" s="11" customFormat="1" ht="18" customHeight="1" x14ac:dyDescent="0.25">
      <c r="A36" s="128"/>
      <c r="B36" s="129"/>
      <c r="C36" s="129"/>
      <c r="D36" s="129"/>
      <c r="E36" s="130"/>
      <c r="F36" s="134">
        <f>IF(G34="",G32-G33,G35*G34)</f>
        <v>0</v>
      </c>
      <c r="G36" s="181"/>
      <c r="H36" s="134">
        <f>IF(I34="",I32-I33,I35*I34)</f>
        <v>0</v>
      </c>
      <c r="I36" s="181"/>
      <c r="J36" s="134">
        <f>IF(K34="",K32-K33,K35*K34)</f>
        <v>0</v>
      </c>
      <c r="K36" s="181"/>
      <c r="L36" s="134">
        <f>IF(M34="",M32-M33,M35*M34)</f>
        <v>0</v>
      </c>
      <c r="M36" s="181"/>
      <c r="N36" s="134">
        <f>IF(O34="",O32-O33,O35*O34)</f>
        <v>0</v>
      </c>
      <c r="O36" s="181"/>
    </row>
    <row r="37" spans="1:16" s="11" customFormat="1" ht="18" customHeight="1" x14ac:dyDescent="0.25">
      <c r="A37" s="131"/>
      <c r="B37" s="132"/>
      <c r="C37" s="132"/>
      <c r="D37" s="132"/>
      <c r="E37" s="133"/>
      <c r="F37" s="135"/>
      <c r="G37" s="182"/>
      <c r="H37" s="135"/>
      <c r="I37" s="182"/>
      <c r="J37" s="135"/>
      <c r="K37" s="182"/>
      <c r="L37" s="135"/>
      <c r="M37" s="182"/>
      <c r="N37" s="135"/>
      <c r="O37" s="182"/>
    </row>
    <row r="38" spans="1:16" s="11" customFormat="1" ht="33.75" customHeight="1" x14ac:dyDescent="0.25">
      <c r="A38" s="138" t="s">
        <v>18</v>
      </c>
      <c r="B38" s="139"/>
      <c r="C38" s="139"/>
      <c r="D38" s="139"/>
      <c r="E38" s="140"/>
      <c r="F38" s="141"/>
      <c r="G38" s="142"/>
      <c r="H38" s="136"/>
      <c r="I38" s="137"/>
      <c r="J38" s="62"/>
      <c r="K38" s="62"/>
      <c r="L38" s="136"/>
      <c r="M38" s="137"/>
      <c r="N38" s="143"/>
      <c r="O38" s="144"/>
    </row>
    <row r="39" spans="1:16" s="54" customFormat="1" ht="30.75" customHeight="1" x14ac:dyDescent="0.25">
      <c r="A39" s="123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5"/>
    </row>
    <row r="40" spans="1:16" s="11" customFormat="1" ht="24" customHeight="1" x14ac:dyDescent="0.25">
      <c r="A40" s="123" t="s">
        <v>19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5"/>
    </row>
    <row r="41" spans="1:16" s="11" customFormat="1" ht="18" x14ac:dyDescent="0.25">
      <c r="A41" s="63"/>
      <c r="B41" s="64"/>
      <c r="C41" s="64"/>
      <c r="D41" s="64"/>
      <c r="E41" s="64"/>
      <c r="F41" s="65"/>
      <c r="G41" s="65"/>
      <c r="H41" s="65"/>
      <c r="I41" s="64"/>
      <c r="J41" s="64"/>
      <c r="K41" s="64"/>
      <c r="L41" s="65"/>
      <c r="M41" s="64"/>
      <c r="N41" s="64"/>
      <c r="O41" s="66"/>
    </row>
    <row r="42" spans="1:16" s="11" customFormat="1" ht="16.5" customHeight="1" x14ac:dyDescent="0.25">
      <c r="A42" s="9"/>
      <c r="B42" s="10" t="s">
        <v>20</v>
      </c>
      <c r="F42" s="12"/>
      <c r="G42" s="12"/>
      <c r="H42" s="12"/>
      <c r="I42" s="12"/>
      <c r="J42" s="12"/>
      <c r="K42" s="12"/>
      <c r="L42" s="12"/>
      <c r="M42" s="12"/>
      <c r="N42" s="12"/>
      <c r="O42" s="13"/>
    </row>
    <row r="43" spans="1:16" s="11" customFormat="1" ht="16.5" customHeight="1" x14ac:dyDescent="0.25">
      <c r="A43" s="14"/>
      <c r="C43" s="15" t="s">
        <v>21</v>
      </c>
      <c r="D43" s="15"/>
      <c r="E43" s="15" t="s">
        <v>22</v>
      </c>
      <c r="F43" s="12"/>
      <c r="G43" s="12"/>
      <c r="H43" s="12"/>
      <c r="I43" s="15" t="s">
        <v>23</v>
      </c>
      <c r="J43" s="15"/>
      <c r="K43" s="15"/>
      <c r="L43" s="12"/>
      <c r="M43" s="15"/>
      <c r="N43" s="15"/>
      <c r="O43" s="16"/>
    </row>
    <row r="44" spans="1:16" s="11" customFormat="1" ht="18" x14ac:dyDescent="0.25">
      <c r="A44" s="67"/>
      <c r="F44" s="12"/>
      <c r="G44" s="12"/>
      <c r="H44" s="12"/>
      <c r="I44" s="12"/>
      <c r="J44" s="12"/>
      <c r="K44" s="12"/>
      <c r="L44" s="12"/>
      <c r="M44" s="12"/>
      <c r="N44" s="12"/>
      <c r="O44" s="13"/>
    </row>
    <row r="45" spans="1:16" s="11" customFormat="1" ht="14.25" customHeight="1" x14ac:dyDescent="0.25">
      <c r="A45" s="67"/>
      <c r="B45" s="10" t="s">
        <v>24</v>
      </c>
      <c r="C45" s="15"/>
      <c r="D45" s="15"/>
      <c r="E45" s="15"/>
      <c r="F45" s="18"/>
      <c r="G45" s="18"/>
      <c r="H45" s="18"/>
      <c r="I45" s="15"/>
      <c r="J45" s="15"/>
      <c r="K45" s="15"/>
      <c r="L45" s="18"/>
      <c r="M45" s="15"/>
      <c r="N45" s="15"/>
      <c r="O45" s="16"/>
    </row>
    <row r="46" spans="1:16" s="70" customFormat="1" ht="21.75" customHeight="1" x14ac:dyDescent="0.25">
      <c r="A46" s="68"/>
      <c r="B46" s="19"/>
      <c r="C46" s="69" t="s">
        <v>25</v>
      </c>
      <c r="F46" s="69" t="s">
        <v>26</v>
      </c>
      <c r="G46" s="71"/>
      <c r="H46" s="71" t="s">
        <v>27</v>
      </c>
      <c r="L46" s="71"/>
      <c r="O46" s="72"/>
    </row>
    <row r="47" spans="1:16" s="11" customFormat="1" ht="15" customHeight="1" x14ac:dyDescent="0.25">
      <c r="A47" s="73"/>
      <c r="B47" s="74" t="s">
        <v>28</v>
      </c>
      <c r="C47" s="11" t="s">
        <v>29</v>
      </c>
      <c r="F47" s="15" t="s">
        <v>30</v>
      </c>
      <c r="G47" s="12"/>
      <c r="H47" s="12" t="s">
        <v>31</v>
      </c>
      <c r="L47" s="12"/>
      <c r="O47" s="75"/>
    </row>
    <row r="48" spans="1:16" s="11" customFormat="1" ht="15" customHeight="1" x14ac:dyDescent="0.25">
      <c r="A48" s="73"/>
      <c r="F48" s="15"/>
      <c r="G48" s="12"/>
      <c r="H48" s="12"/>
      <c r="L48" s="12"/>
      <c r="O48" s="75"/>
    </row>
    <row r="49" spans="1:15" s="11" customFormat="1" ht="18" customHeight="1" x14ac:dyDescent="0.25">
      <c r="A49" s="21" t="s">
        <v>32</v>
      </c>
      <c r="B49" s="15"/>
      <c r="C49" s="15"/>
      <c r="D49" s="4" t="s">
        <v>33</v>
      </c>
      <c r="E49" s="4"/>
      <c r="F49" s="12"/>
      <c r="G49" s="12"/>
      <c r="H49" s="12"/>
      <c r="I49" s="12"/>
      <c r="J49" s="10" t="s">
        <v>34</v>
      </c>
      <c r="K49" s="10"/>
      <c r="L49" s="12"/>
      <c r="M49" s="10"/>
      <c r="N49" s="10"/>
      <c r="O49" s="22"/>
    </row>
    <row r="50" spans="1:15" s="11" customFormat="1" ht="18" customHeight="1" x14ac:dyDescent="0.25">
      <c r="A50" s="173"/>
      <c r="B50" s="189"/>
      <c r="C50" s="15"/>
      <c r="D50" s="174"/>
      <c r="E50" s="174"/>
      <c r="F50" s="174"/>
      <c r="G50" s="12"/>
      <c r="H50" s="12"/>
      <c r="I50" s="188"/>
      <c r="J50" s="188"/>
      <c r="K50" s="188"/>
      <c r="L50" s="12"/>
      <c r="M50" s="10"/>
      <c r="N50" s="10"/>
      <c r="O50" s="22"/>
    </row>
    <row r="51" spans="1:15" s="11" customFormat="1" ht="19.5" customHeight="1" x14ac:dyDescent="0.25">
      <c r="A51" s="118"/>
      <c r="B51" s="119"/>
      <c r="D51" s="120"/>
      <c r="E51" s="119"/>
      <c r="F51" s="119"/>
      <c r="G51" s="12"/>
      <c r="H51" s="12"/>
      <c r="I51" s="117"/>
      <c r="J51" s="117"/>
      <c r="K51" s="117"/>
      <c r="L51" s="114"/>
      <c r="M51" s="114"/>
      <c r="N51" s="114"/>
      <c r="O51" s="75"/>
    </row>
    <row r="52" spans="1:15" s="11" customFormat="1" ht="17.25" customHeight="1" x14ac:dyDescent="0.25">
      <c r="A52" s="121" t="s">
        <v>35</v>
      </c>
      <c r="B52" s="111"/>
      <c r="C52" s="23"/>
      <c r="D52" s="122" t="s">
        <v>35</v>
      </c>
      <c r="E52" s="122"/>
      <c r="F52" s="122"/>
      <c r="G52" s="12"/>
      <c r="H52" s="12"/>
      <c r="I52" s="111" t="s">
        <v>36</v>
      </c>
      <c r="J52" s="111"/>
      <c r="K52" s="111"/>
      <c r="L52" s="23"/>
      <c r="M52" s="23"/>
      <c r="N52" s="23"/>
      <c r="O52" s="76"/>
    </row>
    <row r="53" spans="1:15" s="11" customFormat="1" ht="21" customHeight="1" x14ac:dyDescent="0.25">
      <c r="A53" s="115"/>
      <c r="B53" s="116"/>
      <c r="C53" s="18"/>
      <c r="D53" s="97" t="s">
        <v>37</v>
      </c>
      <c r="E53" s="97"/>
      <c r="F53" s="97"/>
      <c r="I53" s="97" t="s">
        <v>38</v>
      </c>
      <c r="J53" s="97"/>
      <c r="K53" s="97"/>
      <c r="L53" s="77"/>
      <c r="M53" s="77"/>
      <c r="N53" s="77"/>
      <c r="O53" s="78"/>
    </row>
    <row r="54" spans="1:15" s="11" customFormat="1" ht="15.75" customHeight="1" thickBot="1" x14ac:dyDescent="0.3">
      <c r="A54" s="79"/>
      <c r="B54" s="80"/>
      <c r="C54" s="80"/>
      <c r="D54" s="80"/>
      <c r="E54" s="80"/>
      <c r="F54" s="81"/>
      <c r="G54" s="81"/>
      <c r="H54" s="81"/>
      <c r="I54" s="97"/>
      <c r="J54" s="97"/>
      <c r="K54" s="97"/>
      <c r="L54" s="97"/>
      <c r="M54" s="97"/>
      <c r="N54" s="97"/>
      <c r="O54" s="98"/>
    </row>
    <row r="55" spans="1:15" s="54" customFormat="1" ht="22.5" customHeight="1" x14ac:dyDescent="0.25">
      <c r="A55" s="99" t="s">
        <v>39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1"/>
    </row>
    <row r="56" spans="1:15" s="54" customFormat="1" ht="3.75" customHeight="1" x14ac:dyDescent="0.2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6"/>
    </row>
    <row r="57" spans="1:15" s="11" customFormat="1" ht="17.25" customHeight="1" x14ac:dyDescent="0.25">
      <c r="A57" s="27"/>
      <c r="B57" s="28" t="s">
        <v>40</v>
      </c>
      <c r="C57" s="29"/>
      <c r="D57" s="30"/>
      <c r="E57" s="30"/>
      <c r="F57" s="30"/>
      <c r="G57" s="30"/>
      <c r="H57" s="30"/>
      <c r="I57" s="31"/>
      <c r="J57" s="31"/>
      <c r="K57" s="31"/>
      <c r="L57" s="30"/>
      <c r="M57" s="31"/>
      <c r="N57" s="31"/>
      <c r="O57" s="32"/>
    </row>
    <row r="58" spans="1:15" s="11" customFormat="1" ht="17.25" customHeight="1" x14ac:dyDescent="0.25">
      <c r="A58" s="33"/>
      <c r="B58" s="34" t="s">
        <v>41</v>
      </c>
      <c r="C58" s="18"/>
      <c r="D58" s="35"/>
      <c r="E58" s="35"/>
      <c r="F58" s="35"/>
      <c r="G58" s="35"/>
      <c r="H58" s="35"/>
      <c r="I58" s="36"/>
      <c r="J58" s="36"/>
      <c r="K58" s="36"/>
      <c r="L58" s="35"/>
      <c r="M58" s="36"/>
      <c r="N58" s="36"/>
      <c r="O58" s="37"/>
    </row>
    <row r="59" spans="1:15" s="11" customFormat="1" ht="17.25" customHeight="1" x14ac:dyDescent="0.25">
      <c r="A59" s="33"/>
      <c r="B59" s="38"/>
      <c r="C59" s="18"/>
      <c r="D59" s="35"/>
      <c r="E59" s="35"/>
      <c r="F59" s="35"/>
      <c r="G59" s="35"/>
      <c r="H59" s="35"/>
      <c r="I59" s="36"/>
      <c r="J59" s="36"/>
      <c r="K59" s="36"/>
      <c r="L59" s="35"/>
      <c r="M59" s="36"/>
      <c r="N59" s="36"/>
      <c r="O59" s="37"/>
    </row>
    <row r="60" spans="1:15" s="11" customFormat="1" ht="17.25" customHeight="1" x14ac:dyDescent="0.25">
      <c r="A60" s="107" t="s">
        <v>42</v>
      </c>
      <c r="B60" s="108"/>
      <c r="C60" s="39"/>
      <c r="D60" s="39"/>
      <c r="E60" s="40"/>
      <c r="F60" s="40"/>
      <c r="G60" s="40"/>
      <c r="H60" s="40"/>
      <c r="I60" s="41"/>
      <c r="J60" s="41"/>
      <c r="K60" s="41"/>
      <c r="L60" s="40"/>
      <c r="M60" s="41"/>
      <c r="N60" s="41"/>
      <c r="O60" s="42"/>
    </row>
    <row r="61" spans="1:15" s="11" customFormat="1" ht="17.25" customHeight="1" x14ac:dyDescent="0.25">
      <c r="A61" s="103" t="s">
        <v>43</v>
      </c>
      <c r="B61" s="104"/>
      <c r="C61" s="104"/>
      <c r="D61" s="104"/>
      <c r="E61" s="104"/>
      <c r="F61" s="104"/>
      <c r="G61" s="104"/>
      <c r="H61" s="104"/>
      <c r="I61" s="104"/>
      <c r="J61" s="43"/>
      <c r="K61" s="43"/>
      <c r="L61" s="43"/>
      <c r="M61" s="43"/>
      <c r="N61" s="43"/>
      <c r="O61" s="44"/>
    </row>
    <row r="62" spans="1:15" s="11" customFormat="1" ht="17.25" customHeight="1" x14ac:dyDescent="0.25">
      <c r="A62" s="105" t="s">
        <v>43</v>
      </c>
      <c r="B62" s="106"/>
      <c r="C62" s="106"/>
      <c r="D62" s="106"/>
      <c r="E62" s="106"/>
      <c r="F62" s="106"/>
      <c r="G62" s="106"/>
      <c r="H62" s="106"/>
      <c r="I62" s="106"/>
      <c r="J62" s="45"/>
      <c r="K62" s="45"/>
      <c r="L62" s="45"/>
      <c r="M62" s="45"/>
      <c r="N62" s="45"/>
      <c r="O62" s="46"/>
    </row>
    <row r="63" spans="1:15" s="11" customFormat="1" ht="17.25" customHeight="1" x14ac:dyDescent="0.25">
      <c r="A63" s="33"/>
      <c r="B63" s="38"/>
      <c r="C63" s="18"/>
      <c r="D63" s="35"/>
      <c r="E63" s="35"/>
      <c r="F63" s="35"/>
      <c r="G63" s="35"/>
      <c r="H63" s="35"/>
      <c r="I63" s="36"/>
      <c r="J63" s="36"/>
      <c r="K63" s="36"/>
      <c r="L63" s="35"/>
      <c r="M63" s="36"/>
      <c r="N63" s="36"/>
      <c r="O63" s="37"/>
    </row>
    <row r="64" spans="1:15" s="11" customFormat="1" ht="19.5" customHeight="1" x14ac:dyDescent="0.25">
      <c r="A64" s="107" t="s">
        <v>44</v>
      </c>
      <c r="B64" s="108"/>
      <c r="C64" s="18"/>
      <c r="D64" s="47" t="s">
        <v>45</v>
      </c>
      <c r="E64" s="35"/>
      <c r="G64" s="35"/>
      <c r="H64" s="35"/>
      <c r="L64" s="35"/>
      <c r="O64" s="75"/>
    </row>
    <row r="65" spans="1:15" s="11" customFormat="1" ht="19.5" customHeight="1" x14ac:dyDescent="0.25">
      <c r="A65" s="190"/>
      <c r="B65" s="191"/>
      <c r="C65" s="18"/>
      <c r="D65" s="116"/>
      <c r="E65" s="116"/>
      <c r="F65" s="116"/>
      <c r="G65" s="116"/>
      <c r="H65" s="116"/>
      <c r="L65" s="35"/>
      <c r="O65" s="75"/>
    </row>
    <row r="66" spans="1:15" s="11" customFormat="1" ht="17.25" customHeight="1" x14ac:dyDescent="0.25">
      <c r="A66" s="86" t="s">
        <v>46</v>
      </c>
      <c r="B66" s="25"/>
      <c r="C66" s="48"/>
      <c r="D66" s="192"/>
      <c r="E66" s="192"/>
      <c r="F66" s="192"/>
      <c r="G66" s="192"/>
      <c r="H66" s="192"/>
      <c r="I66" s="49"/>
      <c r="J66" s="49"/>
      <c r="K66" s="49"/>
      <c r="L66" s="35"/>
      <c r="M66" s="49"/>
      <c r="N66" s="49"/>
      <c r="O66" s="50"/>
    </row>
    <row r="67" spans="1:15" s="82" customFormat="1" ht="17.25" customHeight="1" x14ac:dyDescent="0.25">
      <c r="A67" s="109" t="s">
        <v>35</v>
      </c>
      <c r="B67" s="110"/>
      <c r="C67" s="15"/>
      <c r="D67" s="111" t="s">
        <v>35</v>
      </c>
      <c r="E67" s="111"/>
      <c r="F67" s="111"/>
      <c r="G67" s="111"/>
      <c r="H67" s="111"/>
      <c r="I67" s="23"/>
      <c r="J67" s="23"/>
      <c r="K67" s="23"/>
      <c r="L67" s="23"/>
      <c r="M67" s="23"/>
      <c r="N67" s="23"/>
      <c r="O67" s="76"/>
    </row>
    <row r="68" spans="1:15" s="82" customFormat="1" ht="17.25" customHeight="1" x14ac:dyDescent="0.25">
      <c r="A68" s="112" t="s">
        <v>47</v>
      </c>
      <c r="B68" s="113"/>
      <c r="C68" s="83"/>
      <c r="D68" s="97" t="s">
        <v>48</v>
      </c>
      <c r="E68" s="97"/>
      <c r="F68" s="97"/>
      <c r="G68" s="97"/>
      <c r="H68" s="97"/>
      <c r="I68" s="77"/>
      <c r="J68" s="77"/>
      <c r="K68" s="77"/>
      <c r="L68" s="77"/>
      <c r="M68" s="77"/>
      <c r="N68" s="77"/>
      <c r="O68" s="78"/>
    </row>
    <row r="69" spans="1:15" s="11" customFormat="1" ht="15.75" customHeight="1" thickBot="1" x14ac:dyDescent="0.3">
      <c r="A69" s="84"/>
      <c r="B69" s="85"/>
      <c r="C69" s="85"/>
      <c r="D69" s="85"/>
      <c r="E69" s="85"/>
      <c r="F69" s="85"/>
      <c r="G69" s="85"/>
      <c r="H69" s="85"/>
      <c r="I69" s="51"/>
      <c r="J69" s="51"/>
      <c r="K69" s="51"/>
      <c r="L69" s="85"/>
      <c r="M69" s="51"/>
      <c r="N69" s="51"/>
      <c r="O69" s="52"/>
    </row>
    <row r="70" spans="1:15" s="11" customFormat="1" ht="18" x14ac:dyDescent="0.25">
      <c r="A70" s="102" t="s">
        <v>49</v>
      </c>
      <c r="B70" s="102"/>
      <c r="F70" s="12"/>
      <c r="G70" s="12"/>
      <c r="H70" s="12"/>
      <c r="L70" s="12"/>
    </row>
    <row r="71" spans="1:15" x14ac:dyDescent="0.2">
      <c r="F71" s="17"/>
      <c r="G71" s="17"/>
      <c r="H71" s="17"/>
      <c r="L71" s="17"/>
    </row>
    <row r="75" spans="1:15" s="53" customFormat="1" x14ac:dyDescent="0.2">
      <c r="A75" s="20"/>
      <c r="B75" s="1"/>
      <c r="C75" s="1"/>
      <c r="D75" s="1"/>
      <c r="E75" s="1"/>
      <c r="F75" s="17"/>
      <c r="G75" s="17"/>
      <c r="H75" s="17"/>
      <c r="I75" s="1"/>
      <c r="J75" s="1"/>
      <c r="K75" s="1"/>
      <c r="L75" s="17"/>
      <c r="M75" s="1"/>
      <c r="N75" s="1"/>
      <c r="O75" s="1"/>
    </row>
    <row r="76" spans="1:15" s="53" customFormat="1" x14ac:dyDescent="0.2">
      <c r="A76" s="20"/>
      <c r="B76" s="1"/>
      <c r="C76" s="1"/>
      <c r="D76" s="1"/>
      <c r="E76" s="1"/>
      <c r="F76" s="17"/>
      <c r="G76" s="17"/>
      <c r="H76" s="17"/>
      <c r="I76" s="1"/>
      <c r="J76" s="1"/>
      <c r="K76" s="1"/>
      <c r="L76" s="17"/>
      <c r="M76" s="1"/>
      <c r="N76" s="1"/>
      <c r="O76" s="1"/>
    </row>
  </sheetData>
  <mergeCells count="86">
    <mergeCell ref="I50:K50"/>
    <mergeCell ref="D50:F50"/>
    <mergeCell ref="A50:B50"/>
    <mergeCell ref="D65:H65"/>
    <mergeCell ref="D66:H66"/>
    <mergeCell ref="I12:O12"/>
    <mergeCell ref="A1:O1"/>
    <mergeCell ref="A2:O5"/>
    <mergeCell ref="A6:O6"/>
    <mergeCell ref="C7:E7"/>
    <mergeCell ref="I7:O7"/>
    <mergeCell ref="A8:O8"/>
    <mergeCell ref="C9:E9"/>
    <mergeCell ref="I9:O9"/>
    <mergeCell ref="A10:O10"/>
    <mergeCell ref="C11:E11"/>
    <mergeCell ref="I11:O11"/>
    <mergeCell ref="C13:E13"/>
    <mergeCell ref="I13:O13"/>
    <mergeCell ref="A14:O14"/>
    <mergeCell ref="A15:E15"/>
    <mergeCell ref="F15:G15"/>
    <mergeCell ref="H15:I15"/>
    <mergeCell ref="N15:O15"/>
    <mergeCell ref="L15:M15"/>
    <mergeCell ref="J15:K15"/>
    <mergeCell ref="A16:E16"/>
    <mergeCell ref="F16:G16"/>
    <mergeCell ref="H16:I16"/>
    <mergeCell ref="N16:O16"/>
    <mergeCell ref="A17:E17"/>
    <mergeCell ref="F17:G17"/>
    <mergeCell ref="H17:I17"/>
    <mergeCell ref="N17:O17"/>
    <mergeCell ref="L16:M16"/>
    <mergeCell ref="L17:M17"/>
    <mergeCell ref="J16:K16"/>
    <mergeCell ref="J17:K17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40:O40"/>
    <mergeCell ref="B30:C30"/>
    <mergeCell ref="B31:C31"/>
    <mergeCell ref="A36:E37"/>
    <mergeCell ref="F36:G37"/>
    <mergeCell ref="H36:I37"/>
    <mergeCell ref="N36:O37"/>
    <mergeCell ref="L36:M37"/>
    <mergeCell ref="L38:M38"/>
    <mergeCell ref="A38:E38"/>
    <mergeCell ref="F38:G38"/>
    <mergeCell ref="H38:I38"/>
    <mergeCell ref="N38:O38"/>
    <mergeCell ref="A39:O39"/>
    <mergeCell ref="J36:K37"/>
    <mergeCell ref="L51:N51"/>
    <mergeCell ref="A53:B53"/>
    <mergeCell ref="D53:F53"/>
    <mergeCell ref="I51:K51"/>
    <mergeCell ref="I53:K53"/>
    <mergeCell ref="I52:K52"/>
    <mergeCell ref="A51:B51"/>
    <mergeCell ref="D51:F51"/>
    <mergeCell ref="A52:B52"/>
    <mergeCell ref="D52:F52"/>
    <mergeCell ref="I54:O54"/>
    <mergeCell ref="A55:O55"/>
    <mergeCell ref="A70:B70"/>
    <mergeCell ref="A61:I61"/>
    <mergeCell ref="A62:I62"/>
    <mergeCell ref="A64:B64"/>
    <mergeCell ref="A67:B67"/>
    <mergeCell ref="D67:H67"/>
    <mergeCell ref="A68:B68"/>
    <mergeCell ref="D68:H68"/>
    <mergeCell ref="A60:B60"/>
  </mergeCells>
  <printOptions horizontalCentered="1" verticalCentered="1"/>
  <pageMargins left="0" right="0" top="0" bottom="0" header="0" footer="0"/>
  <pageSetup paperSize="9" scale="37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 sizeWithCells="1">
                  <from>
                    <xdr:col>3</xdr:col>
                    <xdr:colOff>390525</xdr:colOff>
                    <xdr:row>41</xdr:row>
                    <xdr:rowOff>142875</xdr:rowOff>
                  </from>
                  <to>
                    <xdr:col>3</xdr:col>
                    <xdr:colOff>657225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 sizeWithCells="1">
                  <from>
                    <xdr:col>7</xdr:col>
                    <xdr:colOff>647700</xdr:colOff>
                    <xdr:row>41</xdr:row>
                    <xdr:rowOff>152400</xdr:rowOff>
                  </from>
                  <to>
                    <xdr:col>8</xdr:col>
                    <xdr:colOff>847725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 sizeWithCells="1">
                  <from>
                    <xdr:col>7</xdr:col>
                    <xdr:colOff>0</xdr:colOff>
                    <xdr:row>45</xdr:row>
                    <xdr:rowOff>219075</xdr:rowOff>
                  </from>
                  <to>
                    <xdr:col>7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 sizeWithCells="1">
                  <from>
                    <xdr:col>1</xdr:col>
                    <xdr:colOff>1190625</xdr:colOff>
                    <xdr:row>41</xdr:row>
                    <xdr:rowOff>161925</xdr:rowOff>
                  </from>
                  <to>
                    <xdr:col>2</xdr:col>
                    <xdr:colOff>76200</xdr:colOff>
                    <xdr:row>43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 sizeWithCells="1">
                  <from>
                    <xdr:col>1</xdr:col>
                    <xdr:colOff>1085850</xdr:colOff>
                    <xdr:row>44</xdr:row>
                    <xdr:rowOff>76200</xdr:rowOff>
                  </from>
                  <to>
                    <xdr:col>2</xdr:col>
                    <xdr:colOff>1895475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 sizeWithCells="1">
                  <from>
                    <xdr:col>1</xdr:col>
                    <xdr:colOff>1076325</xdr:colOff>
                    <xdr:row>45</xdr:row>
                    <xdr:rowOff>180975</xdr:rowOff>
                  </from>
                  <to>
                    <xdr:col>2</xdr:col>
                    <xdr:colOff>1885950</xdr:colOff>
                    <xdr:row>47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 sizeWithCells="1">
                  <from>
                    <xdr:col>4</xdr:col>
                    <xdr:colOff>228600</xdr:colOff>
                    <xdr:row>44</xdr:row>
                    <xdr:rowOff>95250</xdr:rowOff>
                  </from>
                  <to>
                    <xdr:col>5</xdr:col>
                    <xdr:colOff>695325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 sizeWithCells="1">
                  <from>
                    <xdr:col>4</xdr:col>
                    <xdr:colOff>219075</xdr:colOff>
                    <xdr:row>45</xdr:row>
                    <xdr:rowOff>209550</xdr:rowOff>
                  </from>
                  <to>
                    <xdr:col>5</xdr:col>
                    <xdr:colOff>685800</xdr:colOff>
                    <xdr:row>47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 sizeWithCells="1">
                  <from>
                    <xdr:col>6</xdr:col>
                    <xdr:colOff>619125</xdr:colOff>
                    <xdr:row>44</xdr:row>
                    <xdr:rowOff>85725</xdr:rowOff>
                  </from>
                  <to>
                    <xdr:col>8</xdr:col>
                    <xdr:colOff>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 sizeWithCells="1">
                  <from>
                    <xdr:col>6</xdr:col>
                    <xdr:colOff>609600</xdr:colOff>
                    <xdr:row>45</xdr:row>
                    <xdr:rowOff>190500</xdr:rowOff>
                  </from>
                  <to>
                    <xdr:col>7</xdr:col>
                    <xdr:colOff>1190625</xdr:colOff>
                    <xdr:row>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 sizeWithCells="1">
                  <from>
                    <xdr:col>0</xdr:col>
                    <xdr:colOff>466725</xdr:colOff>
                    <xdr:row>56</xdr:row>
                    <xdr:rowOff>0</xdr:rowOff>
                  </from>
                  <to>
                    <xdr:col>1</xdr:col>
                    <xdr:colOff>923925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 sizeWithCells="1">
                  <from>
                    <xdr:col>0</xdr:col>
                    <xdr:colOff>466725</xdr:colOff>
                    <xdr:row>57</xdr:row>
                    <xdr:rowOff>9525</xdr:rowOff>
                  </from>
                  <to>
                    <xdr:col>1</xdr:col>
                    <xdr:colOff>914400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 sizeWithCells="1">
                  <from>
                    <xdr:col>8</xdr:col>
                    <xdr:colOff>628650</xdr:colOff>
                    <xdr:row>44</xdr:row>
                    <xdr:rowOff>85725</xdr:rowOff>
                  </from>
                  <to>
                    <xdr:col>12</xdr:col>
                    <xdr:colOff>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 sizeWithCells="1">
                  <from>
                    <xdr:col>8</xdr:col>
                    <xdr:colOff>609600</xdr:colOff>
                    <xdr:row>45</xdr:row>
                    <xdr:rowOff>190500</xdr:rowOff>
                  </from>
                  <to>
                    <xdr:col>11</xdr:col>
                    <xdr:colOff>1181100</xdr:colOff>
                    <xdr:row>47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 Boy Del Rosario</dc:creator>
  <cp:lastModifiedBy>Sonny Boy Del Rosario</cp:lastModifiedBy>
  <cp:lastPrinted>2025-08-29T07:27:11Z</cp:lastPrinted>
  <dcterms:created xsi:type="dcterms:W3CDTF">2025-08-27T07:06:31Z</dcterms:created>
  <dcterms:modified xsi:type="dcterms:W3CDTF">2025-09-04T09:35:52Z</dcterms:modified>
</cp:coreProperties>
</file>